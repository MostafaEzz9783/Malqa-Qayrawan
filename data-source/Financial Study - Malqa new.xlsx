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TR Financial Study" sheetId="1" r:id="rId5"/>
    <sheet state="visible" name="LTR Study Summary" sheetId="2" r:id="rId6"/>
    <sheet state="visible" name="Option 2 LTR Financial Study" sheetId="3" r:id="rId7"/>
    <sheet state="visible" name="Option 2 LTR Study Summary" sheetId="4" r:id="rId8"/>
    <sheet state="hidden" name="STR Study Worksheet" sheetId="5" r:id="rId9"/>
  </sheets>
  <definedNames/>
  <calcPr/>
</workbook>
</file>

<file path=xl/sharedStrings.xml><?xml version="1.0" encoding="utf-8"?>
<sst xmlns="http://schemas.openxmlformats.org/spreadsheetml/2006/main" count="120" uniqueCount="33">
  <si>
    <t>Option 2 : keep it the same as 3BR</t>
  </si>
  <si>
    <t>Option 1 : add additional room instead of living room</t>
  </si>
  <si>
    <t>Best Case</t>
  </si>
  <si>
    <t>Base Case</t>
  </si>
  <si>
    <t>Worst Case</t>
  </si>
  <si>
    <t>Type</t>
  </si>
  <si>
    <t>Unit</t>
  </si>
  <si>
    <t xml:space="preserve">Financial Study - Malqa </t>
  </si>
  <si>
    <t>ماستر داخلي</t>
  </si>
  <si>
    <t>Scenarios</t>
  </si>
  <si>
    <t>Based on Historical Data</t>
  </si>
  <si>
    <t>Revenue at 100% occupancy</t>
  </si>
  <si>
    <t>غرفة سكنية وسط</t>
  </si>
  <si>
    <t>Varying occupancy scenario</t>
  </si>
  <si>
    <t>Internal Master</t>
  </si>
  <si>
    <t xml:space="preserve">Medium room </t>
  </si>
  <si>
    <t>ماستر خارجي</t>
  </si>
  <si>
    <t>External Master</t>
  </si>
  <si>
    <t>Revenue pre deductions</t>
  </si>
  <si>
    <t>Total</t>
  </si>
  <si>
    <t>Net revenue after deducting Mathwaa share</t>
  </si>
  <si>
    <t xml:space="preserve">Monthly Revenue per unit </t>
  </si>
  <si>
    <t xml:space="preserve">Annual Revenue per unit </t>
  </si>
  <si>
    <t>No. of units</t>
  </si>
  <si>
    <t>1Bd</t>
  </si>
  <si>
    <t>Studio</t>
  </si>
  <si>
    <t>2Bd</t>
  </si>
  <si>
    <t>Financial Study - Al Nuzhah</t>
  </si>
  <si>
    <t>Net revenue before deducting Mathwaa share</t>
  </si>
  <si>
    <t>Done</t>
  </si>
  <si>
    <t>Dashboard Verification Status</t>
  </si>
  <si>
    <t>Net revenue after deducting Mathwaa share
20%</t>
  </si>
  <si>
    <t>Net revenue after deducting Mathwaa share
30%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</si>
</sst>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SAR]#,##0"/>
  </numFmts>
  <fonts count="9">
    <font>
      <sz val="10.0"/>
      <color rgb="FF000000"/>
      <name val="Arial"/>
      <scheme val="minor"/>
    </font>
    <font>
      <color theme="1"/>
      <name val="Arial"/>
    </font>
    <font>
      <color rgb="FFFFFFFF"/>
      <name val="Roboto"/>
    </font>
    <font>
      <b/>
      <color theme="1"/>
      <name val="Arial"/>
    </font>
    <font>
      <color theme="1"/>
      <name val="Arial"/>
      <scheme val="minor"/>
    </font>
    <font>
      <b/>
      <color rgb="FFFFFFFF"/>
      <name val="Arial"/>
    </font>
    <font>
      <b/>
      <color theme="1"/>
      <name val="Arial"/>
      <scheme val="minor"/>
    </font>
    <font>
      <color theme="1"/>
      <name val="Roboto"/>
    </font>
    <font>
      <b/>
      <color rgb="FF434343"/>
      <name val="Roboto"/>
    </font>
  </fonts>
  <fills count="8">
    <fill>
      <patternFill patternType="none"/>
    </fill>
    <fill>
      <patternFill patternType="lightGray"/>
    </fill>
    <fill>
      <patternFill patternType="solid">
        <fgColor rgb="FF674EA7"/>
        <bgColor rgb="FF674EA7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6F8F9"/>
        <bgColor rgb="FFF6F8F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</border>
    <border>
      <right style="thin">
        <color rgb="FF442F65"/>
      </right>
    </border>
    <border>
      <left style="thin">
        <color rgb="FF442F65"/>
      </left>
      <right style="thin">
        <color rgb="FFF6F8F9"/>
      </right>
      <top style="thin">
        <color rgb="FFF6F8F9"/>
      </top>
      <bottom style="thin">
        <color rgb="FF442F65"/>
      </bottom>
    </border>
    <border>
      <left style="thin">
        <color rgb="FFF6F8F9"/>
      </left>
      <right style="thin">
        <color rgb="FF442F65"/>
      </right>
      <top style="thin">
        <color rgb="FFF6F8F9"/>
      </top>
      <bottom style="thin">
        <color rgb="FF442F65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2" fontId="2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4" numFmtId="0" xfId="0" applyFont="1"/>
    <xf borderId="1" fillId="2" fontId="5" numFmtId="0" xfId="0" applyAlignment="1" applyBorder="1" applyFont="1">
      <alignment horizontal="center" readingOrder="0" vertical="bottom"/>
    </xf>
    <xf borderId="0" fillId="3" fontId="2" numFmtId="0" xfId="0" applyAlignment="1" applyFill="1" applyFont="1">
      <alignment readingOrder="0" shrinkToFit="0" wrapText="0"/>
    </xf>
    <xf borderId="1" fillId="0" fontId="3" numFmtId="0" xfId="0" applyAlignment="1" applyBorder="1" applyFont="1">
      <alignment horizontal="center" readingOrder="0" vertical="bottom"/>
    </xf>
    <xf borderId="1" fillId="0" fontId="3" numFmtId="3" xfId="0" applyAlignment="1" applyBorder="1" applyFont="1" applyNumberFormat="1">
      <alignment horizontal="center" readingOrder="0" vertical="bottom"/>
    </xf>
    <xf borderId="0" fillId="3" fontId="5" numFmtId="0" xfId="0" applyAlignment="1" applyFont="1">
      <alignment horizontal="center" readingOrder="0" vertical="bottom"/>
    </xf>
    <xf borderId="0" fillId="2" fontId="5" numFmtId="0" xfId="0" applyAlignment="1" applyFont="1">
      <alignment horizontal="center" readingOrder="0" vertical="bottom"/>
    </xf>
    <xf borderId="0" fillId="4" fontId="3" numFmtId="0" xfId="0" applyAlignment="1" applyFill="1" applyFont="1">
      <alignment horizontal="center" readingOrder="0" vertical="bottom"/>
    </xf>
    <xf borderId="0" fillId="5" fontId="3" numFmtId="0" xfId="0" applyAlignment="1" applyFill="1" applyFont="1">
      <alignment horizontal="center" readingOrder="0" vertical="bottom"/>
    </xf>
    <xf borderId="0" fillId="6" fontId="3" numFmtId="0" xfId="0" applyAlignment="1" applyFill="1" applyFont="1">
      <alignment horizontal="center" readingOrder="0" vertical="bottom"/>
    </xf>
    <xf borderId="1" fillId="0" fontId="3" numFmtId="0" xfId="0" applyAlignment="1" applyBorder="1" applyFont="1">
      <alignment horizontal="center" readingOrder="0" vertical="bottom"/>
    </xf>
    <xf borderId="0" fillId="0" fontId="3" numFmtId="0" xfId="0" applyAlignment="1" applyFont="1">
      <alignment horizontal="right" readingOrder="0" vertical="bottom"/>
    </xf>
    <xf borderId="1" fillId="0" fontId="3" numFmtId="0" xfId="0" applyAlignment="1" applyBorder="1" applyFont="1">
      <alignment horizontal="center" vertical="bottom"/>
    </xf>
    <xf borderId="0" fillId="0" fontId="1" numFmtId="0" xfId="0" applyAlignment="1" applyFont="1">
      <alignment readingOrder="0" vertical="bottom"/>
    </xf>
    <xf borderId="0" fillId="0" fontId="3" numFmtId="3" xfId="0" applyAlignment="1" applyFont="1" applyNumberFormat="1">
      <alignment horizontal="center" vertical="bottom"/>
    </xf>
    <xf borderId="0" fillId="0" fontId="1" numFmtId="9" xfId="0" applyAlignment="1" applyFont="1" applyNumberFormat="1">
      <alignment vertical="bottom"/>
    </xf>
    <xf borderId="0" fillId="0" fontId="3" numFmtId="9" xfId="0" applyAlignment="1" applyFont="1" applyNumberFormat="1">
      <alignment horizontal="center" readingOrder="0" vertical="bottom"/>
    </xf>
    <xf borderId="1" fillId="0" fontId="1" numFmtId="0" xfId="0" applyAlignment="1" applyBorder="1" applyFont="1">
      <alignment horizontal="center" vertical="bottom"/>
    </xf>
    <xf borderId="0" fillId="0" fontId="3" numFmtId="10" xfId="0" applyAlignment="1" applyFont="1" applyNumberFormat="1">
      <alignment horizontal="center" readingOrder="0" vertical="bottom"/>
    </xf>
    <xf borderId="1" fillId="0" fontId="3" numFmtId="1" xfId="0" applyAlignment="1" applyBorder="1" applyFont="1" applyNumberFormat="1">
      <alignment horizontal="center" readingOrder="0" vertical="bottom"/>
    </xf>
    <xf borderId="0" fillId="0" fontId="1" numFmtId="3" xfId="0" applyAlignment="1" applyFont="1" applyNumberFormat="1">
      <alignment horizontal="center" vertical="bottom"/>
    </xf>
    <xf borderId="0" fillId="0" fontId="3" numFmtId="0" xfId="0" applyAlignment="1" applyFont="1">
      <alignment horizontal="right" vertical="bottom"/>
    </xf>
    <xf borderId="0" fillId="0" fontId="1" numFmtId="1" xfId="0" applyAlignment="1" applyFont="1" applyNumberFormat="1">
      <alignment vertical="bottom"/>
    </xf>
    <xf borderId="0" fillId="5" fontId="3" numFmtId="0" xfId="0" applyAlignment="1" applyFont="1">
      <alignment horizontal="right" vertical="bottom"/>
    </xf>
    <xf borderId="0" fillId="0" fontId="3" numFmtId="9" xfId="0" applyAlignment="1" applyFont="1" applyNumberFormat="1">
      <alignment horizontal="right" readingOrder="0" vertical="bottom"/>
    </xf>
    <xf borderId="0" fillId="0" fontId="6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0" fillId="0" fontId="7" numFmtId="0" xfId="0" applyAlignment="1" applyFont="1">
      <alignment horizontal="left" readingOrder="0" shrinkToFit="0" vertical="center" wrapText="0"/>
    </xf>
    <xf borderId="0" fillId="0" fontId="8" numFmtId="0" xfId="0" applyAlignment="1" applyFont="1">
      <alignment horizontal="center" readingOrder="0" shrinkToFit="0" wrapText="0"/>
    </xf>
    <xf borderId="2" fillId="3" fontId="8" numFmtId="0" xfId="0" applyAlignment="1" applyBorder="1" applyFont="1">
      <alignment horizontal="center" readingOrder="0" shrinkToFit="0" wrapText="0"/>
    </xf>
    <xf borderId="3" fillId="0" fontId="7" numFmtId="0" xfId="0" applyAlignment="1" applyBorder="1" applyFont="1">
      <alignment shrinkToFit="0" wrapText="0"/>
    </xf>
    <xf borderId="4" fillId="7" fontId="8" numFmtId="0" xfId="0" applyAlignment="1" applyBorder="1" applyFill="1" applyFont="1">
      <alignment horizontal="center" readingOrder="0" shrinkToFit="0" wrapText="0"/>
    </xf>
    <xf borderId="5" fillId="0" fontId="7" numFmtId="0" xfId="0" applyAlignment="1" applyBorder="1" applyFont="1">
      <alignment readingOrder="0" shrinkToFit="0" wrapText="0"/>
    </xf>
    <xf borderId="6" fillId="7" fontId="8" numFmtId="0" xfId="0" applyAlignment="1" applyBorder="1" applyFont="1">
      <alignment horizontal="center" readingOrder="0" shrinkToFit="0" wrapText="0"/>
    </xf>
    <xf borderId="7" fillId="0" fontId="7" numFmtId="0" xfId="0" applyAlignment="1" applyBorder="1" applyFont="1">
      <alignment shrinkToFit="0" wrapText="0"/>
    </xf>
    <xf borderId="0" fillId="2" fontId="5" numFmtId="0" xfId="0" applyAlignment="1" applyFont="1">
      <alignment horizontal="center" readingOrder="0" vertical="bottom"/>
    </xf>
    <xf borderId="0" fillId="2" fontId="5" numFmtId="0" xfId="0" applyAlignment="1" applyFont="1">
      <alignment horizontal="left" readingOrder="0" vertical="bottom"/>
    </xf>
    <xf borderId="0" fillId="0" fontId="1" numFmtId="0" xfId="0" applyAlignment="1" applyFont="1">
      <alignment horizontal="left" vertical="bottom"/>
    </xf>
    <xf borderId="0" fillId="0" fontId="3" numFmtId="164" xfId="0" applyAlignment="1" applyFont="1" applyNumberFormat="1">
      <alignment horizontal="center" vertical="bottom"/>
    </xf>
    <xf borderId="0" fillId="0" fontId="3" numFmtId="10" xfId="0" applyAlignment="1" applyFont="1" applyNumberFormat="1">
      <alignment horizontal="center" vertical="bottom"/>
    </xf>
    <xf borderId="0" fillId="0" fontId="3" numFmtId="164" xfId="0" applyAlignment="1" applyFont="1" applyNumberFormat="1">
      <alignment horizontal="center" readingOrder="0" vertical="bottom"/>
    </xf>
    <xf borderId="0" fillId="0" fontId="1" numFmtId="9" xfId="0" applyAlignment="1" applyFont="1" applyNumberFormat="1">
      <alignment readingOrder="0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STR Study Workshee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O5:P5" displayName="Table3_2" name="Table3_2" id="1">
  <tableColumns count="2">
    <tableColumn name="Column1" id="1"/>
    <tableColumn name="Column2" id="2"/>
  </tableColumns>
  <tableStyleInfo name="STR Study Workshee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5" max="5" width="17.38"/>
    <col customWidth="1" min="6" max="6" width="14.5"/>
  </cols>
  <sheetData>
    <row r="1">
      <c r="A1" s="1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" t="s">
        <v>1</v>
      </c>
      <c r="B5" s="3"/>
      <c r="C5" s="3"/>
      <c r="D5" s="3"/>
      <c r="E5" s="6"/>
      <c r="F5" s="6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6"/>
      <c r="F6" s="6"/>
      <c r="G6" s="3"/>
      <c r="H6" s="7" t="s">
        <v>2</v>
      </c>
      <c r="I6" s="7" t="s">
        <v>3</v>
      </c>
      <c r="J6" s="7" t="s">
        <v>4</v>
      </c>
      <c r="K6" s="7" t="s">
        <v>5</v>
      </c>
      <c r="L6" s="7" t="s">
        <v>6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9">
        <f>D9</f>
        <v>4500</v>
      </c>
      <c r="I7" s="10">
        <f>C9</f>
        <v>4200</v>
      </c>
      <c r="J7" s="10">
        <f>B9</f>
        <v>3900</v>
      </c>
      <c r="K7" s="16" t="s">
        <v>8</v>
      </c>
      <c r="L7" s="18">
        <f t="array" ref="L7:L10">SEQUENCE(4,1,1,1)</f>
        <v>1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9" t="s">
        <v>10</v>
      </c>
      <c r="B8" s="3"/>
      <c r="C8" s="3"/>
      <c r="D8" s="3"/>
      <c r="E8" s="3"/>
      <c r="F8" s="3"/>
      <c r="G8" s="3"/>
      <c r="H8" s="9">
        <f t="shared" ref="H8:H9" si="1">$D$10</f>
        <v>3900</v>
      </c>
      <c r="I8" s="10">
        <f t="shared" ref="I8:I9" si="2">$C$10</f>
        <v>3499</v>
      </c>
      <c r="J8" s="10">
        <f t="shared" ref="J8:J9" si="3">$B$10</f>
        <v>3200</v>
      </c>
      <c r="K8" s="16" t="s">
        <v>12</v>
      </c>
      <c r="L8" s="23">
        <v>2.0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9" t="s">
        <v>14</v>
      </c>
      <c r="B9" s="19">
        <v>3900.0</v>
      </c>
      <c r="C9" s="19">
        <v>4200.0</v>
      </c>
      <c r="D9" s="19">
        <v>4500.0</v>
      </c>
      <c r="E9" s="3"/>
      <c r="F9" s="3"/>
      <c r="G9" s="3"/>
      <c r="H9" s="9">
        <f t="shared" si="1"/>
        <v>3900</v>
      </c>
      <c r="I9" s="10">
        <f t="shared" si="2"/>
        <v>3499</v>
      </c>
      <c r="J9" s="10">
        <f t="shared" si="3"/>
        <v>3200</v>
      </c>
      <c r="K9" s="16" t="s">
        <v>12</v>
      </c>
      <c r="L9" s="23">
        <v>3.0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9" t="s">
        <v>15</v>
      </c>
      <c r="B10" s="19">
        <v>3200.0</v>
      </c>
      <c r="C10" s="19">
        <v>3499.0</v>
      </c>
      <c r="D10" s="19">
        <v>3900.0</v>
      </c>
      <c r="E10" s="3"/>
      <c r="F10" s="3"/>
      <c r="G10" s="3"/>
      <c r="H10" s="25">
        <f>D11</f>
        <v>4203</v>
      </c>
      <c r="I10" s="10">
        <f>C11</f>
        <v>3922.8</v>
      </c>
      <c r="J10" s="10">
        <f>B11</f>
        <v>3642.6</v>
      </c>
      <c r="K10" s="16" t="s">
        <v>16</v>
      </c>
      <c r="L10" s="23">
        <v>4.0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9" t="s">
        <v>17</v>
      </c>
      <c r="B11" s="28">
        <f t="shared" ref="B11:D11" si="4">B9*0.934</f>
        <v>3642.6</v>
      </c>
      <c r="C11" s="28">
        <f t="shared" si="4"/>
        <v>3922.8</v>
      </c>
      <c r="D11" s="28">
        <f t="shared" si="4"/>
        <v>4203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26">
        <f t="shared" ref="H12:J12" si="5">SUM(H$7:H$10)*12</f>
        <v>198036</v>
      </c>
      <c r="I12" s="26">
        <f t="shared" si="5"/>
        <v>181449.6</v>
      </c>
      <c r="J12" s="26">
        <f t="shared" si="5"/>
        <v>167311.2</v>
      </c>
      <c r="K12" s="29" t="s">
        <v>19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</sheetData>
  <mergeCells count="2">
    <mergeCell ref="A1:Z3"/>
    <mergeCell ref="K12:L12"/>
  </mergeCells>
  <dataValidations>
    <dataValidation type="list" allowBlank="1" showErrorMessage="1" sqref="K7:K10">
      <formula1>"غرفة سكنية وسط,ماستر داخلي,ماستر خارجي"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9" max="19" width="7.75"/>
    <col customWidth="1" min="20" max="20" width="40.63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4"/>
      <c r="L1" s="4"/>
      <c r="M1" s="4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B2" s="2"/>
      <c r="C2" s="2"/>
      <c r="D2" s="2"/>
      <c r="E2" s="2"/>
      <c r="F2" s="2"/>
      <c r="G2" s="2"/>
      <c r="H2" s="2"/>
      <c r="I2" s="2"/>
      <c r="J2" s="2"/>
      <c r="K2" s="4"/>
      <c r="L2" s="4"/>
      <c r="M2" s="4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>
      <c r="B3" s="2"/>
      <c r="C3" s="2"/>
      <c r="D3" s="2"/>
      <c r="E3" s="2"/>
      <c r="F3" s="2"/>
      <c r="G3" s="2"/>
      <c r="H3" s="2"/>
      <c r="I3" s="2"/>
      <c r="J3" s="2"/>
      <c r="K3" s="4"/>
      <c r="L3" s="4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8"/>
      <c r="L4" s="8"/>
      <c r="M4" s="8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6"/>
      <c r="L5" s="6"/>
      <c r="M5" s="6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6"/>
      <c r="L7" s="6"/>
      <c r="M7" s="6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6"/>
      <c r="L8" s="6"/>
      <c r="M8" s="6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3"/>
      <c r="B9" s="3"/>
      <c r="D9" s="11"/>
      <c r="E9" s="11"/>
      <c r="F9" s="12"/>
      <c r="G9" s="12" t="s">
        <v>7</v>
      </c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3"/>
      <c r="B10" s="3"/>
      <c r="C10" s="3"/>
      <c r="D10" s="3"/>
      <c r="E10" s="3"/>
      <c r="F10" s="13"/>
      <c r="G10" s="13" t="s">
        <v>4</v>
      </c>
      <c r="K10" s="14"/>
      <c r="L10" s="14" t="s">
        <v>3</v>
      </c>
      <c r="O10" s="15"/>
      <c r="P10" s="15" t="s">
        <v>2</v>
      </c>
      <c r="T10" s="17" t="s">
        <v>9</v>
      </c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3"/>
      <c r="B11" s="3"/>
      <c r="C11" s="3"/>
      <c r="D11" s="3"/>
      <c r="E11" s="3"/>
      <c r="F11" s="20">
        <f>'LTR Financial Study'!J12</f>
        <v>167311.2</v>
      </c>
      <c r="K11" s="20"/>
      <c r="L11" s="20">
        <f>'LTR Financial Study'!I12</f>
        <v>181449.6</v>
      </c>
      <c r="O11" s="20"/>
      <c r="P11" s="20">
        <f>'LTR Financial Study'!H12</f>
        <v>198036</v>
      </c>
      <c r="T11" s="17" t="s">
        <v>11</v>
      </c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3"/>
      <c r="B12" s="3"/>
      <c r="C12" s="21"/>
      <c r="D12" s="21"/>
      <c r="E12" s="21"/>
      <c r="F12" s="22">
        <v>0.6</v>
      </c>
      <c r="G12" s="22">
        <v>0.7</v>
      </c>
      <c r="H12" s="22">
        <v>0.8</v>
      </c>
      <c r="I12" s="24">
        <v>0.9</v>
      </c>
      <c r="K12" s="24">
        <v>0.6</v>
      </c>
      <c r="L12" s="24">
        <v>0.7</v>
      </c>
      <c r="M12" s="24">
        <v>0.8</v>
      </c>
      <c r="N12" s="24">
        <v>0.9</v>
      </c>
      <c r="O12" s="24">
        <v>0.6</v>
      </c>
      <c r="P12" s="24">
        <v>0.7</v>
      </c>
      <c r="Q12" s="24">
        <v>0.8</v>
      </c>
      <c r="R12" s="24">
        <v>0.9</v>
      </c>
      <c r="T12" s="17" t="s">
        <v>13</v>
      </c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3"/>
      <c r="B13" s="3"/>
      <c r="C13" s="3"/>
      <c r="D13" s="3"/>
      <c r="E13" s="3"/>
      <c r="F13" s="20">
        <f>F12*F11</f>
        <v>100386.72</v>
      </c>
      <c r="G13" s="20">
        <f>F11*G12</f>
        <v>117117.84</v>
      </c>
      <c r="H13" s="20">
        <f>F11*H12</f>
        <v>133848.96</v>
      </c>
      <c r="I13" s="20">
        <f>F11*I12</f>
        <v>150580.08</v>
      </c>
      <c r="K13" s="20">
        <f>L11*K12</f>
        <v>108869.76</v>
      </c>
      <c r="L13" s="20">
        <f>L11*L12</f>
        <v>127014.72</v>
      </c>
      <c r="M13" s="20">
        <f>L11*M12</f>
        <v>145159.68</v>
      </c>
      <c r="N13" s="20">
        <f>L11*N12</f>
        <v>163304.64</v>
      </c>
      <c r="O13" s="20">
        <f>P11*O12</f>
        <v>118821.6</v>
      </c>
      <c r="P13" s="20">
        <f>P11*P12</f>
        <v>138625.2</v>
      </c>
      <c r="Q13" s="20">
        <f>P11*Q12</f>
        <v>158428.8</v>
      </c>
      <c r="R13" s="20">
        <f>P11*R12</f>
        <v>178232.4</v>
      </c>
      <c r="T13" s="17" t="s">
        <v>18</v>
      </c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3"/>
      <c r="B14" s="3"/>
      <c r="C14" s="3"/>
      <c r="D14" s="3"/>
      <c r="E14" s="3"/>
      <c r="F14" s="20">
        <f t="shared" ref="F14:I14" si="1">F13*(1-$T$15)</f>
        <v>75290.04</v>
      </c>
      <c r="G14" s="20">
        <f t="shared" si="1"/>
        <v>87838.38</v>
      </c>
      <c r="H14" s="20">
        <f t="shared" si="1"/>
        <v>100386.72</v>
      </c>
      <c r="I14" s="20">
        <f t="shared" si="1"/>
        <v>112935.06</v>
      </c>
      <c r="K14" s="20">
        <f t="shared" ref="K14:R14" si="2">K13*(1-$T$15)</f>
        <v>81652.32</v>
      </c>
      <c r="L14" s="20">
        <f t="shared" si="2"/>
        <v>95261.04</v>
      </c>
      <c r="M14" s="20">
        <f t="shared" si="2"/>
        <v>108869.76</v>
      </c>
      <c r="N14" s="20">
        <f t="shared" si="2"/>
        <v>122478.48</v>
      </c>
      <c r="O14" s="20">
        <f t="shared" si="2"/>
        <v>89116.2</v>
      </c>
      <c r="P14" s="20">
        <f t="shared" si="2"/>
        <v>103968.9</v>
      </c>
      <c r="Q14" s="20">
        <f t="shared" si="2"/>
        <v>118821.6</v>
      </c>
      <c r="R14" s="20">
        <f t="shared" si="2"/>
        <v>133674.3</v>
      </c>
      <c r="T14" s="17" t="s">
        <v>20</v>
      </c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3"/>
      <c r="B15" s="3"/>
      <c r="C15" s="3"/>
      <c r="D15" s="3"/>
      <c r="E15" s="3"/>
      <c r="T15" s="30">
        <v>0.25</v>
      </c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3"/>
      <c r="B16" s="3"/>
      <c r="C16" s="3"/>
      <c r="D16" s="3"/>
      <c r="E16" s="3"/>
      <c r="F16" s="20">
        <f t="shared" ref="F16:I16" si="3">F14/12/5</f>
        <v>1254.834</v>
      </c>
      <c r="G16" s="20">
        <f t="shared" si="3"/>
        <v>1463.973</v>
      </c>
      <c r="H16" s="20">
        <f t="shared" si="3"/>
        <v>1673.112</v>
      </c>
      <c r="I16" s="20">
        <f t="shared" si="3"/>
        <v>1882.251</v>
      </c>
      <c r="K16" s="20">
        <f t="shared" ref="K16:R16" si="4">K14/12/5</f>
        <v>1360.872</v>
      </c>
      <c r="L16" s="20">
        <f t="shared" si="4"/>
        <v>1587.684</v>
      </c>
      <c r="M16" s="20">
        <f t="shared" si="4"/>
        <v>1814.496</v>
      </c>
      <c r="N16" s="20">
        <f t="shared" si="4"/>
        <v>2041.308</v>
      </c>
      <c r="O16" s="20">
        <f t="shared" si="4"/>
        <v>1485.27</v>
      </c>
      <c r="P16" s="20">
        <f t="shared" si="4"/>
        <v>1732.815</v>
      </c>
      <c r="Q16" s="20">
        <f t="shared" si="4"/>
        <v>1980.36</v>
      </c>
      <c r="R16" s="20">
        <f t="shared" si="4"/>
        <v>2227.905</v>
      </c>
      <c r="T16" s="17" t="s">
        <v>21</v>
      </c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3"/>
      <c r="B17" s="3"/>
      <c r="C17" s="3"/>
      <c r="D17" s="3"/>
      <c r="E17" s="3"/>
      <c r="F17" s="20">
        <f t="shared" ref="F17:I17" si="5">F16*12</f>
        <v>15058.008</v>
      </c>
      <c r="G17" s="20">
        <f t="shared" si="5"/>
        <v>17567.676</v>
      </c>
      <c r="H17" s="20">
        <f t="shared" si="5"/>
        <v>20077.344</v>
      </c>
      <c r="I17" s="20">
        <f t="shared" si="5"/>
        <v>22587.012</v>
      </c>
      <c r="K17" s="20">
        <f t="shared" ref="K17:R17" si="6">K16*12</f>
        <v>16330.464</v>
      </c>
      <c r="L17" s="20">
        <f t="shared" si="6"/>
        <v>19052.208</v>
      </c>
      <c r="M17" s="20">
        <f t="shared" si="6"/>
        <v>21773.952</v>
      </c>
      <c r="N17" s="20">
        <f t="shared" si="6"/>
        <v>24495.696</v>
      </c>
      <c r="O17" s="20">
        <f t="shared" si="6"/>
        <v>17823.24</v>
      </c>
      <c r="P17" s="20">
        <f t="shared" si="6"/>
        <v>20793.78</v>
      </c>
      <c r="Q17" s="20">
        <f t="shared" si="6"/>
        <v>23764.32</v>
      </c>
      <c r="R17" s="20">
        <f t="shared" si="6"/>
        <v>26734.86</v>
      </c>
      <c r="T17" s="17" t="s">
        <v>22</v>
      </c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3"/>
      <c r="B25" s="3"/>
      <c r="C25" s="3"/>
      <c r="D25" s="3"/>
      <c r="E25" s="3"/>
      <c r="F25" s="3"/>
      <c r="G25" s="5"/>
      <c r="H25" s="31"/>
      <c r="I25" s="5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3"/>
      <c r="B26" s="3"/>
      <c r="C26" s="3"/>
      <c r="D26" s="3"/>
      <c r="E26" s="3"/>
      <c r="F26" s="3"/>
      <c r="G26" s="19"/>
      <c r="I26" s="19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3"/>
      <c r="B27" s="3"/>
      <c r="C27" s="3"/>
      <c r="D27" s="3"/>
      <c r="E27" s="3"/>
      <c r="F27" s="3"/>
      <c r="G27" s="19"/>
      <c r="I27" s="19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3"/>
      <c r="B28" s="3"/>
      <c r="C28" s="3"/>
      <c r="D28" s="3"/>
      <c r="E28" s="3"/>
      <c r="F28" s="3"/>
      <c r="G28" s="19"/>
      <c r="I28" s="19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3"/>
      <c r="B29" s="3"/>
      <c r="C29" s="3"/>
      <c r="D29" s="3"/>
      <c r="E29" s="3"/>
      <c r="F29" s="3"/>
      <c r="G29" s="19"/>
      <c r="I29" s="19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3"/>
      <c r="B30" s="3"/>
      <c r="C30" s="3"/>
      <c r="D30" s="3"/>
      <c r="E30" s="3"/>
      <c r="F30" s="3"/>
      <c r="G30" s="3"/>
      <c r="I30" s="19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3"/>
      <c r="B31" s="3"/>
      <c r="C31" s="3"/>
      <c r="D31" s="3"/>
      <c r="E31" s="3"/>
      <c r="F31" s="3"/>
      <c r="G31" s="3"/>
      <c r="H31" s="3"/>
      <c r="I31" s="19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3"/>
      <c r="B32" s="3"/>
      <c r="C32" s="3"/>
      <c r="D32" s="3"/>
      <c r="E32" s="3"/>
      <c r="F32" s="3"/>
      <c r="G32" s="3"/>
      <c r="H32" s="3"/>
      <c r="I32" s="19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3"/>
      <c r="B33" s="3"/>
      <c r="C33" s="3"/>
      <c r="D33" s="3"/>
      <c r="E33" s="3"/>
      <c r="F33" s="3"/>
      <c r="G33" s="3"/>
      <c r="H33" s="3"/>
      <c r="I33" s="19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</sheetData>
  <mergeCells count="18">
    <mergeCell ref="A1:A3"/>
    <mergeCell ref="G9:T9"/>
    <mergeCell ref="G10:J10"/>
    <mergeCell ref="L10:N10"/>
    <mergeCell ref="P10:S10"/>
    <mergeCell ref="L11:N11"/>
    <mergeCell ref="P11:S11"/>
    <mergeCell ref="R13:S13"/>
    <mergeCell ref="R14:S14"/>
    <mergeCell ref="I16:J16"/>
    <mergeCell ref="R16:S16"/>
    <mergeCell ref="I17:J17"/>
    <mergeCell ref="R17:S17"/>
    <mergeCell ref="F11:J11"/>
    <mergeCell ref="I12:J12"/>
    <mergeCell ref="R12:S12"/>
    <mergeCell ref="I13:J13"/>
    <mergeCell ref="I14:J1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5" max="5" width="17.38"/>
    <col customWidth="1" min="6" max="6" width="14.5"/>
  </cols>
  <sheetData>
    <row r="1">
      <c r="A1" s="1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" t="s">
        <v>0</v>
      </c>
      <c r="B5" s="3"/>
      <c r="C5" s="3"/>
      <c r="D5" s="3"/>
      <c r="E5" s="6"/>
      <c r="F5" s="6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6"/>
      <c r="F6" s="6"/>
      <c r="G6" s="3"/>
      <c r="H6" s="7" t="s">
        <v>2</v>
      </c>
      <c r="I6" s="7" t="s">
        <v>3</v>
      </c>
      <c r="J6" s="7" t="s">
        <v>4</v>
      </c>
      <c r="K6" s="7" t="s">
        <v>5</v>
      </c>
      <c r="L6" s="7" t="s">
        <v>6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9">
        <f>D9</f>
        <v>4950</v>
      </c>
      <c r="I7" s="10">
        <f>C9</f>
        <v>4620</v>
      </c>
      <c r="J7" s="10">
        <f>B9</f>
        <v>4290</v>
      </c>
      <c r="K7" s="16" t="s">
        <v>8</v>
      </c>
      <c r="L7" s="18">
        <f t="array" ref="L7:L9">SEQUENCE(3,1,1,1)</f>
        <v>1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9" t="s">
        <v>10</v>
      </c>
      <c r="B8" s="3"/>
      <c r="C8" s="3"/>
      <c r="D8" s="3"/>
      <c r="E8" s="3"/>
      <c r="F8" s="3"/>
      <c r="G8" s="3"/>
      <c r="H8" s="9">
        <f t="shared" ref="H8:H9" si="1">$D$11</f>
        <v>3520</v>
      </c>
      <c r="I8" s="10">
        <f t="shared" ref="I8:I9" si="2">$C$11</f>
        <v>3520</v>
      </c>
      <c r="J8" s="10">
        <f t="shared" ref="J8:J9" si="3">$B$11</f>
        <v>3520</v>
      </c>
      <c r="K8" s="16" t="s">
        <v>12</v>
      </c>
      <c r="L8" s="23">
        <v>2.0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9" t="s">
        <v>14</v>
      </c>
      <c r="B9" s="19">
        <f>3900*1.1</f>
        <v>4290</v>
      </c>
      <c r="C9" s="19">
        <f>4200*1.1</f>
        <v>4620</v>
      </c>
      <c r="D9" s="19">
        <f>4500*1.1</f>
        <v>4950</v>
      </c>
      <c r="E9" s="3"/>
      <c r="F9" s="3"/>
      <c r="G9" s="3"/>
      <c r="H9" s="9">
        <f t="shared" si="1"/>
        <v>3520</v>
      </c>
      <c r="I9" s="10">
        <f t="shared" si="2"/>
        <v>3520</v>
      </c>
      <c r="J9" s="10">
        <f t="shared" si="3"/>
        <v>3520</v>
      </c>
      <c r="K9" s="16" t="s">
        <v>12</v>
      </c>
      <c r="L9" s="23">
        <v>3.0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9"/>
      <c r="B10" s="19"/>
      <c r="C10" s="19"/>
      <c r="D10" s="19"/>
      <c r="E10" s="3"/>
      <c r="F10" s="3"/>
      <c r="G10" s="3"/>
      <c r="H10" s="26"/>
      <c r="I10" s="26"/>
      <c r="J10" s="26"/>
      <c r="K10" s="27"/>
      <c r="L10" s="27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9" t="s">
        <v>15</v>
      </c>
      <c r="B11" s="19">
        <f t="shared" ref="B11:D11" si="4">3200*1.1</f>
        <v>3520</v>
      </c>
      <c r="C11" s="19">
        <f t="shared" si="4"/>
        <v>3520</v>
      </c>
      <c r="D11" s="19">
        <f t="shared" si="4"/>
        <v>3520</v>
      </c>
      <c r="E11" s="3"/>
      <c r="F11" s="3"/>
      <c r="G11" s="3"/>
      <c r="H11" s="26">
        <f t="shared" ref="H11:J11" si="5">SUM(H$7:H$9)*12</f>
        <v>143880</v>
      </c>
      <c r="I11" s="26">
        <f t="shared" si="5"/>
        <v>139920</v>
      </c>
      <c r="J11" s="26">
        <f t="shared" si="5"/>
        <v>135960</v>
      </c>
      <c r="K11" s="29" t="s">
        <v>19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G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</sheetData>
  <mergeCells count="2">
    <mergeCell ref="A1:Z3"/>
    <mergeCell ref="K11:L11"/>
  </mergeCells>
  <dataValidations>
    <dataValidation type="list" allowBlank="1" showErrorMessage="1" sqref="K7:K9">
      <formula1>"غرفة سكنية وسط,ماستر داخلي,ماستر خارجي"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9" max="19" width="7.75"/>
    <col customWidth="1" min="20" max="20" width="40.63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4"/>
      <c r="L1" s="4"/>
      <c r="M1" s="4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B2" s="2"/>
      <c r="C2" s="2"/>
      <c r="D2" s="2"/>
      <c r="E2" s="2"/>
      <c r="F2" s="2"/>
      <c r="G2" s="2"/>
      <c r="H2" s="2"/>
      <c r="I2" s="2"/>
      <c r="J2" s="2"/>
      <c r="K2" s="4"/>
      <c r="L2" s="4"/>
      <c r="M2" s="4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>
      <c r="B3" s="2"/>
      <c r="C3" s="2"/>
      <c r="D3" s="2"/>
      <c r="E3" s="2"/>
      <c r="F3" s="2"/>
      <c r="G3" s="2"/>
      <c r="H3" s="2"/>
      <c r="I3" s="2"/>
      <c r="J3" s="2"/>
      <c r="K3" s="4"/>
      <c r="L3" s="4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8"/>
      <c r="L4" s="8"/>
      <c r="M4" s="8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6"/>
      <c r="L5" s="6"/>
      <c r="M5" s="6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6"/>
      <c r="L7" s="6"/>
      <c r="M7" s="6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6"/>
      <c r="L8" s="6"/>
      <c r="M8" s="6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3"/>
      <c r="B9" s="3"/>
      <c r="D9" s="11"/>
      <c r="E9" s="11"/>
      <c r="F9" s="12"/>
      <c r="G9" s="12" t="s">
        <v>7</v>
      </c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3"/>
      <c r="B10" s="3"/>
      <c r="C10" s="3"/>
      <c r="D10" s="3"/>
      <c r="E10" s="3"/>
      <c r="F10" s="13"/>
      <c r="G10" s="13" t="s">
        <v>4</v>
      </c>
      <c r="K10" s="14"/>
      <c r="L10" s="14" t="s">
        <v>3</v>
      </c>
      <c r="O10" s="15"/>
      <c r="P10" s="15" t="s">
        <v>2</v>
      </c>
      <c r="T10" s="17" t="s">
        <v>9</v>
      </c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3"/>
      <c r="B11" s="3"/>
      <c r="C11" s="3"/>
      <c r="D11" s="3"/>
      <c r="E11" s="3"/>
      <c r="F11" s="20">
        <f>'Option 2 LTR Financial Study'!J11</f>
        <v>135960</v>
      </c>
      <c r="K11" s="20"/>
      <c r="L11" s="20">
        <f>'Option 2 LTR Financial Study'!I11</f>
        <v>139920</v>
      </c>
      <c r="O11" s="20"/>
      <c r="P11" s="20">
        <f>'Option 2 LTR Financial Study'!H11</f>
        <v>143880</v>
      </c>
      <c r="T11" s="17" t="s">
        <v>11</v>
      </c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3"/>
      <c r="B12" s="3"/>
      <c r="C12" s="21"/>
      <c r="D12" s="21"/>
      <c r="E12" s="21"/>
      <c r="F12" s="22">
        <v>0.6</v>
      </c>
      <c r="G12" s="22">
        <v>0.7</v>
      </c>
      <c r="H12" s="22">
        <v>0.8</v>
      </c>
      <c r="I12" s="24">
        <v>0.9</v>
      </c>
      <c r="K12" s="24">
        <v>0.6</v>
      </c>
      <c r="L12" s="24">
        <v>0.7</v>
      </c>
      <c r="M12" s="24">
        <v>0.8</v>
      </c>
      <c r="N12" s="24">
        <v>0.9</v>
      </c>
      <c r="O12" s="24">
        <v>0.6</v>
      </c>
      <c r="P12" s="24">
        <v>0.7</v>
      </c>
      <c r="Q12" s="24">
        <v>0.8</v>
      </c>
      <c r="R12" s="24">
        <v>0.9</v>
      </c>
      <c r="T12" s="17" t="s">
        <v>13</v>
      </c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3"/>
      <c r="B13" s="3"/>
      <c r="C13" s="3"/>
      <c r="D13" s="3"/>
      <c r="E13" s="3"/>
      <c r="F13" s="20">
        <f>F12*F11</f>
        <v>81576</v>
      </c>
      <c r="G13" s="20">
        <f>F11*G12</f>
        <v>95172</v>
      </c>
      <c r="H13" s="20">
        <f>F11*H12</f>
        <v>108768</v>
      </c>
      <c r="I13" s="20">
        <f>F11*I12</f>
        <v>122364</v>
      </c>
      <c r="K13" s="20">
        <f>L11*K12</f>
        <v>83952</v>
      </c>
      <c r="L13" s="20">
        <f>L11*L12</f>
        <v>97944</v>
      </c>
      <c r="M13" s="20">
        <f>L11*M12</f>
        <v>111936</v>
      </c>
      <c r="N13" s="20">
        <f>L11*N12</f>
        <v>125928</v>
      </c>
      <c r="O13" s="20">
        <f>P11*O12</f>
        <v>86328</v>
      </c>
      <c r="P13" s="20">
        <f>P11*P12</f>
        <v>100716</v>
      </c>
      <c r="Q13" s="20">
        <f>P11*Q12</f>
        <v>115104</v>
      </c>
      <c r="R13" s="20">
        <f>P11*R12</f>
        <v>129492</v>
      </c>
      <c r="T13" s="17" t="s">
        <v>18</v>
      </c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3"/>
      <c r="B14" s="3"/>
      <c r="C14" s="3"/>
      <c r="D14" s="3"/>
      <c r="E14" s="3"/>
      <c r="F14" s="20">
        <f t="shared" ref="F14:I14" si="1">F13*(1-$T$15)</f>
        <v>61182</v>
      </c>
      <c r="G14" s="20">
        <f t="shared" si="1"/>
        <v>71379</v>
      </c>
      <c r="H14" s="20">
        <f t="shared" si="1"/>
        <v>81576</v>
      </c>
      <c r="I14" s="20">
        <f t="shared" si="1"/>
        <v>91773</v>
      </c>
      <c r="K14" s="20">
        <f t="shared" ref="K14:R14" si="2">K13*(1-$T$15)</f>
        <v>62964</v>
      </c>
      <c r="L14" s="20">
        <f t="shared" si="2"/>
        <v>73458</v>
      </c>
      <c r="M14" s="20">
        <f t="shared" si="2"/>
        <v>83952</v>
      </c>
      <c r="N14" s="20">
        <f t="shared" si="2"/>
        <v>94446</v>
      </c>
      <c r="O14" s="20">
        <f t="shared" si="2"/>
        <v>64746</v>
      </c>
      <c r="P14" s="20">
        <f t="shared" si="2"/>
        <v>75537</v>
      </c>
      <c r="Q14" s="20">
        <f t="shared" si="2"/>
        <v>86328</v>
      </c>
      <c r="R14" s="20">
        <f t="shared" si="2"/>
        <v>97119</v>
      </c>
      <c r="T14" s="17" t="s">
        <v>20</v>
      </c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3"/>
      <c r="B15" s="3"/>
      <c r="C15" s="3"/>
      <c r="D15" s="3"/>
      <c r="E15" s="3"/>
      <c r="T15" s="30">
        <v>0.25</v>
      </c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3"/>
      <c r="B16" s="3"/>
      <c r="C16" s="3"/>
      <c r="D16" s="3"/>
      <c r="E16" s="3"/>
      <c r="F16" s="20">
        <f t="shared" ref="F16:I16" si="3">F14/12</f>
        <v>5098.5</v>
      </c>
      <c r="G16" s="20">
        <f t="shared" si="3"/>
        <v>5948.25</v>
      </c>
      <c r="H16" s="20">
        <f t="shared" si="3"/>
        <v>6798</v>
      </c>
      <c r="I16" s="20">
        <f t="shared" si="3"/>
        <v>7647.75</v>
      </c>
      <c r="K16" s="20">
        <f t="shared" ref="K16:R16" si="4">K14/12</f>
        <v>5247</v>
      </c>
      <c r="L16" s="20">
        <f t="shared" si="4"/>
        <v>6121.5</v>
      </c>
      <c r="M16" s="20">
        <f t="shared" si="4"/>
        <v>6996</v>
      </c>
      <c r="N16" s="20">
        <f t="shared" si="4"/>
        <v>7870.5</v>
      </c>
      <c r="O16" s="20">
        <f t="shared" si="4"/>
        <v>5395.5</v>
      </c>
      <c r="P16" s="20">
        <f t="shared" si="4"/>
        <v>6294.75</v>
      </c>
      <c r="Q16" s="20">
        <f t="shared" si="4"/>
        <v>7194</v>
      </c>
      <c r="R16" s="20">
        <f t="shared" si="4"/>
        <v>8093.25</v>
      </c>
      <c r="T16" s="17" t="s">
        <v>21</v>
      </c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3"/>
      <c r="B24" s="3"/>
      <c r="C24" s="3"/>
      <c r="D24" s="3"/>
      <c r="E24" s="3"/>
      <c r="F24" s="3"/>
      <c r="G24" s="5"/>
      <c r="H24" s="31"/>
      <c r="I24" s="5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3"/>
      <c r="B25" s="3"/>
      <c r="C25" s="3"/>
      <c r="D25" s="3"/>
      <c r="E25" s="3"/>
      <c r="F25" s="3"/>
      <c r="G25" s="19"/>
      <c r="I25" s="19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3"/>
      <c r="B26" s="3"/>
      <c r="C26" s="3"/>
      <c r="D26" s="3"/>
      <c r="E26" s="3"/>
      <c r="F26" s="3"/>
      <c r="G26" s="19"/>
      <c r="I26" s="19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3"/>
      <c r="B27" s="3"/>
      <c r="C27" s="3"/>
      <c r="D27" s="3"/>
      <c r="E27" s="3"/>
      <c r="F27" s="3"/>
      <c r="G27" s="19"/>
      <c r="I27" s="19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3"/>
      <c r="B28" s="3"/>
      <c r="C28" s="3"/>
      <c r="D28" s="3"/>
      <c r="E28" s="3"/>
      <c r="F28" s="3"/>
      <c r="G28" s="19"/>
      <c r="I28" s="19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3"/>
      <c r="B29" s="3"/>
      <c r="C29" s="3"/>
      <c r="D29" s="3"/>
      <c r="E29" s="3"/>
      <c r="F29" s="3"/>
      <c r="G29" s="3"/>
      <c r="I29" s="19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3"/>
      <c r="B30" s="3"/>
      <c r="C30" s="3"/>
      <c r="D30" s="3"/>
      <c r="E30" s="3"/>
      <c r="F30" s="3"/>
      <c r="G30" s="3"/>
      <c r="H30" s="3"/>
      <c r="I30" s="19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3"/>
      <c r="B31" s="3"/>
      <c r="C31" s="3"/>
      <c r="D31" s="3"/>
      <c r="E31" s="3"/>
      <c r="F31" s="3"/>
      <c r="G31" s="3"/>
      <c r="H31" s="3"/>
      <c r="I31" s="19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3"/>
      <c r="B32" s="3"/>
      <c r="C32" s="3"/>
      <c r="D32" s="3"/>
      <c r="E32" s="3"/>
      <c r="F32" s="3"/>
      <c r="G32" s="3"/>
      <c r="H32" s="3"/>
      <c r="I32" s="19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</sheetData>
  <mergeCells count="16">
    <mergeCell ref="A1:A3"/>
    <mergeCell ref="G9:T9"/>
    <mergeCell ref="G10:J10"/>
    <mergeCell ref="L10:N10"/>
    <mergeCell ref="P10:S10"/>
    <mergeCell ref="L11:N11"/>
    <mergeCell ref="P11:S11"/>
    <mergeCell ref="R14:S14"/>
    <mergeCell ref="R16:S16"/>
    <mergeCell ref="F11:J11"/>
    <mergeCell ref="I12:J12"/>
    <mergeCell ref="R12:S12"/>
    <mergeCell ref="I13:J13"/>
    <mergeCell ref="I14:J14"/>
    <mergeCell ref="I16:J16"/>
    <mergeCell ref="R13:S1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7" max="7" width="10.25"/>
    <col customWidth="1" min="9" max="9" width="17.75"/>
    <col customWidth="1" min="11" max="11" width="13.38"/>
    <col customWidth="1" min="13" max="13" width="11.75"/>
    <col customWidth="1" min="15" max="15" width="14.75"/>
    <col customWidth="1" min="17" max="17" width="12.75"/>
    <col customWidth="1" min="18" max="18" width="12.13"/>
    <col customWidth="1" min="19" max="19" width="13.25"/>
    <col customWidth="1" min="20" max="20" width="10.0"/>
    <col customWidth="1" min="21" max="21" width="14.5"/>
    <col customWidth="1" min="22" max="22" width="11.0"/>
    <col customWidth="1" min="23" max="23" width="30.38"/>
    <col customWidth="1" min="24" max="24" width="40.63"/>
  </cols>
  <sheetData>
    <row r="1">
      <c r="A1" s="2"/>
      <c r="B1" s="2"/>
      <c r="C1" s="2"/>
      <c r="D1" s="2"/>
      <c r="E1" s="2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>
      <c r="B2" s="2"/>
      <c r="C2" s="2"/>
      <c r="D2" s="2"/>
      <c r="E2" s="2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>
      <c r="B3" s="2"/>
      <c r="C3" s="2"/>
      <c r="D3" s="2"/>
      <c r="E3" s="2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>
      <c r="A4" s="3"/>
      <c r="B4" s="3"/>
      <c r="C4" s="3"/>
      <c r="D4" s="3"/>
      <c r="E4" s="3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ht="22.5" customHeight="1">
      <c r="A5" s="3"/>
      <c r="B5" s="3"/>
      <c r="C5" s="3"/>
      <c r="D5" s="3"/>
      <c r="E5" s="3"/>
      <c r="F5" s="32"/>
      <c r="G5" s="32"/>
      <c r="H5" s="32"/>
      <c r="I5" s="32"/>
      <c r="J5" s="32"/>
      <c r="K5" s="32"/>
      <c r="L5" s="32"/>
      <c r="M5" s="32"/>
      <c r="N5" s="32"/>
      <c r="O5" s="33" t="s">
        <v>23</v>
      </c>
      <c r="P5" s="33" t="s">
        <v>5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>
      <c r="A6" s="3"/>
      <c r="B6" s="3"/>
      <c r="C6" s="3"/>
      <c r="D6" s="3"/>
      <c r="E6" s="3"/>
      <c r="F6" s="34"/>
      <c r="G6" s="34"/>
      <c r="H6" s="34"/>
      <c r="I6" s="34"/>
      <c r="J6" s="34"/>
      <c r="K6" s="34"/>
      <c r="L6" s="34"/>
      <c r="M6" s="34"/>
      <c r="N6" s="34"/>
      <c r="O6" s="35">
        <v>4.0</v>
      </c>
      <c r="P6" s="36" t="s">
        <v>24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>
      <c r="A7" s="3"/>
      <c r="B7" s="3"/>
      <c r="C7" s="3"/>
      <c r="D7" s="3"/>
      <c r="E7" s="3"/>
      <c r="F7" s="34"/>
      <c r="G7" s="34"/>
      <c r="H7" s="34"/>
      <c r="I7" s="34"/>
      <c r="J7" s="34"/>
      <c r="K7" s="34"/>
      <c r="L7" s="34"/>
      <c r="M7" s="34"/>
      <c r="N7" s="34"/>
      <c r="O7" s="37">
        <v>2.0</v>
      </c>
      <c r="P7" s="38" t="s">
        <v>25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>
      <c r="A8" s="3"/>
      <c r="B8" s="3"/>
      <c r="C8" s="3"/>
      <c r="D8" s="3"/>
      <c r="E8" s="3"/>
      <c r="F8" s="34"/>
      <c r="G8" s="34"/>
      <c r="H8" s="34"/>
      <c r="I8" s="34"/>
      <c r="J8" s="34"/>
      <c r="K8" s="34"/>
      <c r="L8" s="34"/>
      <c r="M8" s="34"/>
      <c r="N8" s="34"/>
      <c r="O8" s="39">
        <v>3.0</v>
      </c>
      <c r="P8" s="40" t="s">
        <v>26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>
      <c r="A10" s="3"/>
      <c r="B10" s="3"/>
      <c r="C10" s="3"/>
      <c r="D10" s="3"/>
      <c r="E10" s="3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>
      <c r="A11" s="3"/>
      <c r="B11" s="3"/>
      <c r="C11" s="3"/>
      <c r="D11" s="3"/>
      <c r="E11" s="3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>
      <c r="A12" s="3"/>
      <c r="B12" s="3"/>
      <c r="D12" s="11"/>
      <c r="E12" s="11"/>
      <c r="F12" s="41"/>
      <c r="G12" s="41"/>
      <c r="H12" s="41"/>
      <c r="I12" s="41"/>
      <c r="J12" s="41"/>
      <c r="K12" s="41"/>
      <c r="L12" s="42" t="s">
        <v>27</v>
      </c>
      <c r="Y12" s="43"/>
      <c r="Z12" s="3"/>
      <c r="AA12" s="3"/>
      <c r="AB12" s="3"/>
      <c r="AC12" s="3"/>
      <c r="AD12" s="3"/>
      <c r="AE12" s="3"/>
      <c r="AF12" s="3"/>
      <c r="AG12" s="3"/>
      <c r="AH12" s="3"/>
    </row>
    <row r="13">
      <c r="A13" s="3"/>
      <c r="B13" s="3"/>
      <c r="C13" s="3"/>
      <c r="D13" s="3"/>
      <c r="E13" s="3"/>
      <c r="F13" s="13" t="s">
        <v>4</v>
      </c>
      <c r="L13" s="14" t="s">
        <v>3</v>
      </c>
      <c r="R13" s="15" t="s">
        <v>2</v>
      </c>
      <c r="X13" s="17" t="s">
        <v>9</v>
      </c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>
      <c r="A14" s="3"/>
      <c r="B14" s="3"/>
      <c r="C14" s="3"/>
      <c r="D14" s="3"/>
      <c r="E14" s="3"/>
      <c r="F14" s="44" t="str">
        <f>'STR Financial Study'!J60</f>
        <v>#REF!</v>
      </c>
      <c r="L14" s="44" t="str">
        <f>'STR Financial Study'!I60</f>
        <v>#REF!</v>
      </c>
      <c r="R14" s="44" t="str">
        <f>'STR Financial Study'!H60</f>
        <v>#REF!</v>
      </c>
      <c r="X14" s="17" t="s">
        <v>11</v>
      </c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>
      <c r="A15" s="3"/>
      <c r="B15" s="3"/>
      <c r="C15" s="21"/>
      <c r="D15" s="21"/>
      <c r="E15" s="21"/>
      <c r="F15" s="24">
        <v>0.4</v>
      </c>
      <c r="G15" s="24">
        <v>0.5</v>
      </c>
      <c r="H15" s="24">
        <v>0.6</v>
      </c>
      <c r="I15" s="24">
        <v>0.7</v>
      </c>
      <c r="J15" s="24">
        <v>0.8</v>
      </c>
      <c r="K15" s="24">
        <v>0.9</v>
      </c>
      <c r="L15" s="24">
        <v>0.4</v>
      </c>
      <c r="M15" s="24">
        <v>0.5</v>
      </c>
      <c r="N15" s="24">
        <v>0.6</v>
      </c>
      <c r="O15" s="24">
        <v>0.7</v>
      </c>
      <c r="P15" s="24">
        <v>0.8</v>
      </c>
      <c r="Q15" s="24">
        <v>0.9</v>
      </c>
      <c r="R15" s="45">
        <v>0.4</v>
      </c>
      <c r="S15" s="45">
        <v>0.5</v>
      </c>
      <c r="T15" s="45">
        <v>0.6</v>
      </c>
      <c r="U15" s="45">
        <v>0.7</v>
      </c>
      <c r="V15" s="45">
        <v>0.8</v>
      </c>
      <c r="W15" s="45">
        <v>0.9</v>
      </c>
      <c r="X15" s="17" t="s">
        <v>13</v>
      </c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>
      <c r="A16" s="3"/>
      <c r="B16" s="3"/>
      <c r="C16" s="3"/>
      <c r="D16" s="3"/>
      <c r="E16" s="3"/>
      <c r="F16" s="44" t="str">
        <f>F14*F15</f>
        <v>#REF!</v>
      </c>
      <c r="G16" s="44" t="str">
        <f>F14*G15</f>
        <v>#REF!</v>
      </c>
      <c r="H16" s="44" t="str">
        <f>F14*H15</f>
        <v>#REF!</v>
      </c>
      <c r="I16" s="44" t="str">
        <f>F14*I15</f>
        <v>#REF!</v>
      </c>
      <c r="J16" s="44" t="str">
        <f>F14*J15</f>
        <v>#REF!</v>
      </c>
      <c r="K16" s="44" t="str">
        <f>F14*K15</f>
        <v>#REF!</v>
      </c>
      <c r="L16" s="44" t="str">
        <f>L14*L15</f>
        <v>#REF!</v>
      </c>
      <c r="M16" s="44" t="str">
        <f>L14*M15</f>
        <v>#REF!</v>
      </c>
      <c r="N16" s="44" t="str">
        <f>L14*N15</f>
        <v>#REF!</v>
      </c>
      <c r="O16" s="44" t="str">
        <f>L14*O15</f>
        <v>#REF!</v>
      </c>
      <c r="P16" s="44" t="str">
        <f>L14*P15</f>
        <v>#REF!</v>
      </c>
      <c r="Q16" s="44" t="str">
        <f>L14*Q15</f>
        <v>#REF!</v>
      </c>
      <c r="R16" s="44" t="str">
        <f>R14*R15</f>
        <v>#REF!</v>
      </c>
      <c r="S16" s="44" t="str">
        <f>R14*S15</f>
        <v>#REF!</v>
      </c>
      <c r="T16" s="44" t="str">
        <f>R14*T15</f>
        <v>#REF!</v>
      </c>
      <c r="U16" s="44" t="str">
        <f>R14*U15</f>
        <v>#REF!</v>
      </c>
      <c r="V16" s="44" t="str">
        <f>R14*V15</f>
        <v>#REF!</v>
      </c>
      <c r="W16" s="44" t="str">
        <f>R14*W15</f>
        <v>#REF!</v>
      </c>
      <c r="X16" s="17" t="s">
        <v>28</v>
      </c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>
      <c r="A17" s="3"/>
      <c r="B17" s="3"/>
      <c r="C17" s="3"/>
      <c r="D17" s="3"/>
      <c r="E17" s="3"/>
      <c r="F17" s="46" t="s">
        <v>29</v>
      </c>
      <c r="G17" s="46" t="s">
        <v>29</v>
      </c>
      <c r="H17" s="46" t="s">
        <v>29</v>
      </c>
      <c r="I17" s="46" t="s">
        <v>29</v>
      </c>
      <c r="J17" s="46" t="s">
        <v>29</v>
      </c>
      <c r="K17" s="46" t="s">
        <v>29</v>
      </c>
      <c r="L17" s="46" t="s">
        <v>29</v>
      </c>
      <c r="M17" s="46" t="s">
        <v>29</v>
      </c>
      <c r="N17" s="46" t="s">
        <v>29</v>
      </c>
      <c r="O17" s="46" t="s">
        <v>29</v>
      </c>
      <c r="P17" s="46" t="s">
        <v>29</v>
      </c>
      <c r="Q17" s="46" t="s">
        <v>29</v>
      </c>
      <c r="R17" s="46" t="s">
        <v>29</v>
      </c>
      <c r="S17" s="46" t="s">
        <v>29</v>
      </c>
      <c r="T17" s="46" t="s">
        <v>29</v>
      </c>
      <c r="U17" s="46" t="s">
        <v>29</v>
      </c>
      <c r="V17" s="46" t="s">
        <v>29</v>
      </c>
      <c r="W17" s="46" t="s">
        <v>29</v>
      </c>
      <c r="X17" s="17" t="s">
        <v>30</v>
      </c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>
      <c r="A18" s="3"/>
      <c r="B18" s="3"/>
      <c r="C18" s="3"/>
      <c r="D18" s="3"/>
      <c r="E18" s="3"/>
      <c r="F18" s="46">
        <v>265732.0</v>
      </c>
      <c r="G18" s="46">
        <v>332164.0</v>
      </c>
      <c r="H18" s="46">
        <v>398598.0</v>
      </c>
      <c r="I18" s="46">
        <v>465030.0</v>
      </c>
      <c r="J18" s="46">
        <v>531464.0</v>
      </c>
      <c r="K18" s="46">
        <v>597897.0</v>
      </c>
      <c r="L18" s="46">
        <v>323052.0</v>
      </c>
      <c r="M18" s="46">
        <v>403815.0</v>
      </c>
      <c r="N18" s="46">
        <v>484578.0</v>
      </c>
      <c r="O18" s="46">
        <v>565340.0</v>
      </c>
      <c r="P18" s="46">
        <v>646103.0</v>
      </c>
      <c r="Q18" s="46">
        <v>726866.0</v>
      </c>
      <c r="R18" s="46">
        <v>379906.0</v>
      </c>
      <c r="S18" s="46">
        <v>474883.0</v>
      </c>
      <c r="T18" s="46">
        <v>569860.0</v>
      </c>
      <c r="U18" s="46">
        <v>664836.0</v>
      </c>
      <c r="V18" s="46">
        <v>759813.0</v>
      </c>
      <c r="W18" s="46">
        <v>854790.0</v>
      </c>
      <c r="X18" s="17" t="s">
        <v>31</v>
      </c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>
      <c r="A19" s="3"/>
      <c r="B19" s="3"/>
      <c r="C19" s="3"/>
      <c r="D19" s="3"/>
      <c r="E19" s="3"/>
      <c r="F19" s="46" t="s">
        <v>29</v>
      </c>
      <c r="G19" s="46" t="s">
        <v>29</v>
      </c>
      <c r="H19" s="46" t="s">
        <v>29</v>
      </c>
      <c r="I19" s="46" t="s">
        <v>29</v>
      </c>
      <c r="J19" s="46" t="s">
        <v>29</v>
      </c>
      <c r="K19" s="46" t="s">
        <v>29</v>
      </c>
      <c r="L19" s="46" t="s">
        <v>29</v>
      </c>
      <c r="M19" s="46" t="s">
        <v>29</v>
      </c>
      <c r="N19" s="46" t="s">
        <v>29</v>
      </c>
      <c r="O19" s="46" t="s">
        <v>29</v>
      </c>
      <c r="P19" s="46" t="s">
        <v>29</v>
      </c>
      <c r="Q19" s="46" t="s">
        <v>29</v>
      </c>
      <c r="R19" s="46" t="s">
        <v>29</v>
      </c>
      <c r="S19" s="46" t="s">
        <v>29</v>
      </c>
      <c r="T19" s="46" t="s">
        <v>29</v>
      </c>
      <c r="U19" s="46" t="s">
        <v>29</v>
      </c>
      <c r="V19" s="46" t="s">
        <v>29</v>
      </c>
      <c r="W19" s="46" t="s">
        <v>29</v>
      </c>
      <c r="X19" s="17" t="s">
        <v>30</v>
      </c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>
      <c r="A20" s="3"/>
      <c r="B20" s="3"/>
      <c r="C20" s="3"/>
      <c r="D20" s="3"/>
      <c r="E20" s="3"/>
      <c r="F20" s="46">
        <v>232515.0</v>
      </c>
      <c r="G20" s="46">
        <v>290644.0</v>
      </c>
      <c r="H20" s="46">
        <v>348773.0</v>
      </c>
      <c r="I20" s="46">
        <v>406901.0</v>
      </c>
      <c r="J20" s="46">
        <v>465031.0</v>
      </c>
      <c r="K20" s="46">
        <v>523159.0</v>
      </c>
      <c r="L20" s="46">
        <v>282679.0</v>
      </c>
      <c r="M20" s="46">
        <v>353338.0</v>
      </c>
      <c r="N20" s="46">
        <v>424005.0</v>
      </c>
      <c r="O20" s="46">
        <v>494673.0</v>
      </c>
      <c r="P20" s="46">
        <v>565341.0</v>
      </c>
      <c r="Q20" s="46">
        <v>636008.0</v>
      </c>
      <c r="R20" s="46">
        <v>332418.0</v>
      </c>
      <c r="S20" s="46">
        <v>415523.0</v>
      </c>
      <c r="T20" s="46">
        <v>498627.0</v>
      </c>
      <c r="U20" s="46">
        <v>581732.0</v>
      </c>
      <c r="V20" s="46">
        <v>664836.0</v>
      </c>
      <c r="W20" s="46">
        <v>747941.0</v>
      </c>
      <c r="X20" s="17" t="s">
        <v>32</v>
      </c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>
      <c r="A21" s="3"/>
      <c r="B21" s="3"/>
      <c r="C21" s="3"/>
      <c r="D21" s="3"/>
      <c r="E21" s="3"/>
      <c r="F21" s="46" t="s">
        <v>29</v>
      </c>
      <c r="G21" s="46" t="s">
        <v>29</v>
      </c>
      <c r="H21" s="46" t="s">
        <v>29</v>
      </c>
      <c r="I21" s="46" t="s">
        <v>29</v>
      </c>
      <c r="J21" s="46" t="s">
        <v>29</v>
      </c>
      <c r="K21" s="46" t="s">
        <v>29</v>
      </c>
      <c r="L21" s="46" t="s">
        <v>29</v>
      </c>
      <c r="M21" s="46" t="s">
        <v>29</v>
      </c>
      <c r="N21" s="46" t="s">
        <v>29</v>
      </c>
      <c r="O21" s="46" t="s">
        <v>29</v>
      </c>
      <c r="P21" s="46" t="s">
        <v>29</v>
      </c>
      <c r="Q21" s="46" t="s">
        <v>29</v>
      </c>
      <c r="R21" s="46" t="s">
        <v>29</v>
      </c>
      <c r="S21" s="46" t="s">
        <v>29</v>
      </c>
      <c r="T21" s="46" t="s">
        <v>29</v>
      </c>
      <c r="U21" s="46" t="s">
        <v>29</v>
      </c>
      <c r="V21" s="46" t="s">
        <v>29</v>
      </c>
      <c r="W21" s="46" t="s">
        <v>29</v>
      </c>
      <c r="X21" s="17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47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>
      <c r="A23" s="3"/>
      <c r="B23" s="3"/>
      <c r="C23" s="3"/>
      <c r="D23" s="3"/>
      <c r="E23" s="3"/>
      <c r="F23" s="3"/>
      <c r="G23" s="3"/>
      <c r="H23" s="19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</row>
  </sheetData>
  <mergeCells count="8">
    <mergeCell ref="A1:A3"/>
    <mergeCell ref="L12:X12"/>
    <mergeCell ref="F13:K13"/>
    <mergeCell ref="L13:Q13"/>
    <mergeCell ref="R13:W13"/>
    <mergeCell ref="F14:K14"/>
    <mergeCell ref="L14:Q14"/>
    <mergeCell ref="R14:W14"/>
  </mergeCells>
  <dataValidations>
    <dataValidation type="list" allowBlank="1" showErrorMessage="1" sqref="P7">
      <formula1>"Studio,1Bd,2Bd"</formula1>
    </dataValidation>
    <dataValidation type="list" allowBlank="1" showErrorMessage="1" sqref="P6 P8">
      <formula1>"1Bd,2Bd"</formula1>
    </dataValidation>
  </dataValidations>
  <drawing r:id="rId1"/>
  <tableParts count="1">
    <tablePart r:id="rId3"/>
  </tableParts>
</worksheet>
</file>