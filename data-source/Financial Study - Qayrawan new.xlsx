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TR Financial Study" sheetId="1" r:id="rId5"/>
    <sheet state="visible" name="LTR Study Summary" sheetId="2" r:id="rId6"/>
    <sheet state="visible" name="Option 2 LTR Financial Study" sheetId="3" r:id="rId7"/>
    <sheet state="visible" name="Option 2 LTR Study Summary" sheetId="4" r:id="rId8"/>
    <sheet state="hidden" name="STR Study Worksheet" sheetId="5" r:id="rId9"/>
  </sheets>
  <definedNames/>
  <calcPr/>
</workbook>
</file>

<file path=xl/sharedStrings.xml><?xml version="1.0" encoding="utf-8"?>
<sst xmlns="http://schemas.openxmlformats.org/spreadsheetml/2006/main" count="120" uniqueCount="33">
  <si>
    <t>Option 2 : keep it the same as 3BR</t>
  </si>
  <si>
    <t>Option 1 : add additional room instead of living room</t>
  </si>
  <si>
    <t>Best Case</t>
  </si>
  <si>
    <t>Base Case</t>
  </si>
  <si>
    <t>Worst Case</t>
  </si>
  <si>
    <t>Type</t>
  </si>
  <si>
    <t>Unit</t>
  </si>
  <si>
    <t>Financial Study - Qayrawan</t>
  </si>
  <si>
    <t>ماستر داخلي</t>
  </si>
  <si>
    <t>Scenarios</t>
  </si>
  <si>
    <t>Based on Historical Data</t>
  </si>
  <si>
    <t>غرفة سكنية وسط</t>
  </si>
  <si>
    <t>Revenue at 100% occupancy</t>
  </si>
  <si>
    <t>Internal Master</t>
  </si>
  <si>
    <t>Varying occupancy scenario</t>
  </si>
  <si>
    <t xml:space="preserve">Medium room </t>
  </si>
  <si>
    <t>ماستر خارجي</t>
  </si>
  <si>
    <t>External Master</t>
  </si>
  <si>
    <t>Total</t>
  </si>
  <si>
    <t>Revenue pre deductions</t>
  </si>
  <si>
    <t>Net revenue after deducting Mathwaa share</t>
  </si>
  <si>
    <t xml:space="preserve">Monthly Revenue per unit </t>
  </si>
  <si>
    <t xml:space="preserve">Annual Revenue per unit </t>
  </si>
  <si>
    <t>No. of units</t>
  </si>
  <si>
    <t>1Bd</t>
  </si>
  <si>
    <t>Studio</t>
  </si>
  <si>
    <t>2Bd</t>
  </si>
  <si>
    <t>Financial Study - Al Nuzhah</t>
  </si>
  <si>
    <t>Net revenue before deducting Mathwaa share</t>
  </si>
  <si>
    <t>Done</t>
  </si>
  <si>
    <t>Dashboard Verification Status</t>
  </si>
  <si>
    <t>Net revenue after deducting Mathwaa share
20%</t>
  </si>
  <si>
    <t>Net revenue after deducting Mathwaa share
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</si>
</sst>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AR]#,##0"/>
  </numFmts>
  <fonts count="9">
    <font>
      <sz val="10.0"/>
      <color rgb="FF000000"/>
      <name val="Arial"/>
      <scheme val="minor"/>
    </font>
    <font>
      <color theme="1"/>
      <name val="Arial"/>
    </font>
    <font>
      <color rgb="FFFFFFFF"/>
      <name val="Roboto"/>
    </font>
    <font>
      <b/>
      <color theme="1"/>
      <name val="Arial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Roboto"/>
    </font>
    <font>
      <b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</border>
    <border>
      <right style="thin">
        <color rgb="FF442F65"/>
      </right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Font="1"/>
    <xf borderId="0" fillId="2" fontId="2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3" fontId="2" numFmtId="0" xfId="0" applyAlignment="1" applyFill="1" applyFont="1">
      <alignment readingOrder="0" shrinkToFit="0" wrapText="0"/>
    </xf>
    <xf borderId="1" fillId="2" fontId="5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1" fillId="0" fontId="3" numFmtId="3" xfId="0" applyAlignment="1" applyBorder="1" applyFont="1" applyNumberForma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horizontal="center" readingOrder="0" vertical="bottom"/>
    </xf>
    <xf borderId="0" fillId="6" fontId="3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3" numFmtId="3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9" xfId="0" applyAlignment="1" applyFont="1" applyNumberFormat="1">
      <alignment vertical="bottom"/>
    </xf>
    <xf borderId="0" fillId="0" fontId="3" numFmtId="9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3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1" fillId="0" fontId="3" numFmtId="1" xfId="0" applyAlignment="1" applyBorder="1" applyFont="1" applyNumberFormat="1">
      <alignment horizontal="center" readingOrder="0" vertical="bottom"/>
    </xf>
    <xf borderId="0" fillId="0" fontId="1" numFmtId="1" xfId="0" applyAlignment="1" applyFont="1" applyNumberFormat="1">
      <alignment vertical="bottom"/>
    </xf>
    <xf borderId="0" fillId="5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wrapText="0"/>
    </xf>
    <xf borderId="2" fillId="3" fontId="8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shrinkToFit="0" wrapText="0"/>
    </xf>
    <xf borderId="4" fillId="7" fontId="8" numFmtId="0" xfId="0" applyAlignment="1" applyBorder="1" applyFill="1" applyFont="1">
      <alignment horizontal="center" readingOrder="0" shrinkToFit="0" wrapText="0"/>
    </xf>
    <xf borderId="5" fillId="0" fontId="7" numFmtId="0" xfId="0" applyAlignment="1" applyBorder="1" applyFont="1">
      <alignment readingOrder="0" shrinkToFit="0" wrapText="0"/>
    </xf>
    <xf borderId="6" fillId="7" fontId="8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shrinkToFit="0" wrapText="0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3" numFmtId="164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" numFmtId="9" xfId="0" applyAlignment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TR Study Work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O5:P5" displayName="Table3_2" name="Table3_2" id="1">
  <tableColumns count="2">
    <tableColumn name="Column1" id="1"/>
    <tableColumn name="Column2" id="2"/>
  </tableColumns>
  <tableStyleInfo name="STR Study Work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4.5"/>
  </cols>
  <sheetData>
    <row r="1">
      <c r="A1" s="2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</v>
      </c>
      <c r="B5" s="4"/>
      <c r="C5" s="4"/>
      <c r="D5" s="4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6"/>
      <c r="F6" s="6"/>
      <c r="G6" s="4"/>
      <c r="H6" s="8" t="s">
        <v>2</v>
      </c>
      <c r="I6" s="8" t="s">
        <v>3</v>
      </c>
      <c r="J6" s="8" t="s">
        <v>4</v>
      </c>
      <c r="K6" s="8" t="s">
        <v>5</v>
      </c>
      <c r="L6" s="8" t="s">
        <v>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9">
        <f>D9</f>
        <v>4500</v>
      </c>
      <c r="I7" s="12">
        <f>C9</f>
        <v>4200</v>
      </c>
      <c r="J7" s="12">
        <f>B9</f>
        <v>3592</v>
      </c>
      <c r="K7" s="16" t="s">
        <v>8</v>
      </c>
      <c r="L7" s="18">
        <f t="array" ref="L7:L10">SEQUENCE(4,1,1,1)</f>
        <v>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" t="s">
        <v>10</v>
      </c>
      <c r="B8" s="4"/>
      <c r="C8" s="4"/>
      <c r="D8" s="4"/>
      <c r="E8" s="4"/>
      <c r="F8" s="4"/>
      <c r="G8" s="4"/>
      <c r="H8" s="9">
        <f t="shared" ref="H8:H9" si="1">$D$10</f>
        <v>3900</v>
      </c>
      <c r="I8" s="12">
        <f t="shared" ref="I8:I9" si="2">$C$10</f>
        <v>3499</v>
      </c>
      <c r="J8" s="12">
        <f t="shared" ref="J8:J9" si="3">$B$10</f>
        <v>2952</v>
      </c>
      <c r="K8" s="16" t="s">
        <v>11</v>
      </c>
      <c r="L8" s="21">
        <v>2.0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 t="s">
        <v>13</v>
      </c>
      <c r="B9" s="19">
        <v>3592.0</v>
      </c>
      <c r="C9" s="19">
        <v>4200.0</v>
      </c>
      <c r="D9" s="19">
        <v>4500.0</v>
      </c>
      <c r="E9" s="4"/>
      <c r="F9" s="4"/>
      <c r="G9" s="4"/>
      <c r="H9" s="9">
        <f t="shared" si="1"/>
        <v>3900</v>
      </c>
      <c r="I9" s="12">
        <f t="shared" si="2"/>
        <v>3499</v>
      </c>
      <c r="J9" s="12">
        <f t="shared" si="3"/>
        <v>2952</v>
      </c>
      <c r="K9" s="16" t="s">
        <v>11</v>
      </c>
      <c r="L9" s="21">
        <v>3.0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 t="s">
        <v>15</v>
      </c>
      <c r="B10" s="19">
        <v>2952.0</v>
      </c>
      <c r="C10" s="19">
        <v>3499.0</v>
      </c>
      <c r="D10" s="19">
        <v>3900.0</v>
      </c>
      <c r="E10" s="4"/>
      <c r="F10" s="4"/>
      <c r="G10" s="4"/>
      <c r="H10" s="28">
        <f>D11</f>
        <v>4050</v>
      </c>
      <c r="I10" s="12">
        <f>C11</f>
        <v>3780</v>
      </c>
      <c r="J10" s="12">
        <f>B11</f>
        <v>3232.8</v>
      </c>
      <c r="K10" s="16" t="s">
        <v>16</v>
      </c>
      <c r="L10" s="21">
        <v>4.0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9" t="s">
        <v>17</v>
      </c>
      <c r="B11" s="29">
        <f t="shared" ref="B11:D11" si="4">B9*0.9</f>
        <v>3232.8</v>
      </c>
      <c r="C11" s="29">
        <f t="shared" si="4"/>
        <v>3780</v>
      </c>
      <c r="D11" s="29">
        <f t="shared" si="4"/>
        <v>4050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26">
        <f t="shared" ref="H12:J12" si="5">SUM(H$7:H$10)*12</f>
        <v>196200</v>
      </c>
      <c r="I12" s="26">
        <f t="shared" si="5"/>
        <v>179736</v>
      </c>
      <c r="J12" s="26">
        <f t="shared" si="5"/>
        <v>152745.6</v>
      </c>
      <c r="K12" s="30" t="s">
        <v>18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</sheetData>
  <mergeCells count="2">
    <mergeCell ref="A1:Z3"/>
    <mergeCell ref="K12:L12"/>
  </mergeCells>
  <dataValidations>
    <dataValidation type="list" allowBlank="1" showErrorMessage="1" sqref="K7:K10">
      <formula1>"غرفة سكنية وسط,ماستر داخلي,ماستر خارجي"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9" max="19" width="7.75"/>
    <col customWidth="1" min="20" max="20" width="40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6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6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6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/>
      <c r="B9" s="4"/>
      <c r="D9" s="10"/>
      <c r="E9" s="10"/>
      <c r="F9" s="11"/>
      <c r="G9" s="11" t="s">
        <v>7</v>
      </c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4"/>
      <c r="E10" s="4"/>
      <c r="F10" s="13"/>
      <c r="G10" s="13" t="s">
        <v>4</v>
      </c>
      <c r="K10" s="14"/>
      <c r="L10" s="14" t="s">
        <v>3</v>
      </c>
      <c r="O10" s="15"/>
      <c r="P10" s="15" t="s">
        <v>2</v>
      </c>
      <c r="T10" s="17" t="s">
        <v>9</v>
      </c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4"/>
      <c r="E11" s="4"/>
      <c r="F11" s="20">
        <f>'LTR Financial Study'!J12</f>
        <v>152745.6</v>
      </c>
      <c r="K11" s="20"/>
      <c r="L11" s="20">
        <f>'LTR Financial Study'!I12</f>
        <v>179736</v>
      </c>
      <c r="O11" s="20"/>
      <c r="P11" s="20">
        <f>'LTR Financial Study'!H12</f>
        <v>196200</v>
      </c>
      <c r="T11" s="17" t="s">
        <v>12</v>
      </c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22"/>
      <c r="D12" s="22"/>
      <c r="E12" s="22"/>
      <c r="F12" s="23">
        <v>0.6</v>
      </c>
      <c r="G12" s="23">
        <v>0.7</v>
      </c>
      <c r="H12" s="23">
        <v>0.8</v>
      </c>
      <c r="I12" s="24">
        <v>0.9</v>
      </c>
      <c r="K12" s="24">
        <v>0.6</v>
      </c>
      <c r="L12" s="24">
        <v>0.7</v>
      </c>
      <c r="M12" s="24">
        <v>0.8</v>
      </c>
      <c r="N12" s="24">
        <v>0.9</v>
      </c>
      <c r="O12" s="24">
        <v>0.6</v>
      </c>
      <c r="P12" s="24">
        <v>0.7</v>
      </c>
      <c r="Q12" s="24">
        <v>0.8</v>
      </c>
      <c r="R12" s="24">
        <v>0.9</v>
      </c>
      <c r="T12" s="17" t="s">
        <v>14</v>
      </c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4"/>
      <c r="E13" s="4"/>
      <c r="F13" s="20">
        <f>F12*F11</f>
        <v>91647.36</v>
      </c>
      <c r="G13" s="20">
        <f>F11*G12</f>
        <v>106921.92</v>
      </c>
      <c r="H13" s="20">
        <f>F11*H12</f>
        <v>122196.48</v>
      </c>
      <c r="I13" s="20">
        <f>F11*I12</f>
        <v>137471.04</v>
      </c>
      <c r="K13" s="20">
        <f>L11*K12</f>
        <v>107841.6</v>
      </c>
      <c r="L13" s="20">
        <f>L11*L12</f>
        <v>125815.2</v>
      </c>
      <c r="M13" s="20">
        <f>L11*M12</f>
        <v>143788.8</v>
      </c>
      <c r="N13" s="20">
        <f>L11*N12</f>
        <v>161762.4</v>
      </c>
      <c r="O13" s="20">
        <f>P11*O12</f>
        <v>117720</v>
      </c>
      <c r="P13" s="20">
        <f>P11*P12</f>
        <v>137340</v>
      </c>
      <c r="Q13" s="20">
        <f>P11*Q12</f>
        <v>156960</v>
      </c>
      <c r="R13" s="20">
        <f>P11*R12</f>
        <v>176580</v>
      </c>
      <c r="T13" s="17" t="s">
        <v>19</v>
      </c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4"/>
      <c r="E14" s="4"/>
      <c r="F14" s="20">
        <f t="shared" ref="F14:I14" si="1">F13*(1-$T$15)</f>
        <v>68735.52</v>
      </c>
      <c r="G14" s="20">
        <f t="shared" si="1"/>
        <v>80191.44</v>
      </c>
      <c r="H14" s="20">
        <f t="shared" si="1"/>
        <v>91647.36</v>
      </c>
      <c r="I14" s="20">
        <f t="shared" si="1"/>
        <v>103103.28</v>
      </c>
      <c r="K14" s="20">
        <f t="shared" ref="K14:R14" si="2">K13*(1-$T$15)</f>
        <v>80881.2</v>
      </c>
      <c r="L14" s="20">
        <f t="shared" si="2"/>
        <v>94361.4</v>
      </c>
      <c r="M14" s="20">
        <f t="shared" si="2"/>
        <v>107841.6</v>
      </c>
      <c r="N14" s="20">
        <f t="shared" si="2"/>
        <v>121321.8</v>
      </c>
      <c r="O14" s="20">
        <f t="shared" si="2"/>
        <v>88290</v>
      </c>
      <c r="P14" s="20">
        <f t="shared" si="2"/>
        <v>103005</v>
      </c>
      <c r="Q14" s="20">
        <f t="shared" si="2"/>
        <v>117720</v>
      </c>
      <c r="R14" s="20">
        <f t="shared" si="2"/>
        <v>132435</v>
      </c>
      <c r="T14" s="17" t="s">
        <v>20</v>
      </c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4"/>
      <c r="E15" s="4"/>
      <c r="T15" s="31">
        <v>0.25</v>
      </c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4"/>
      <c r="E16" s="4"/>
      <c r="F16" s="20">
        <f t="shared" ref="F16:I16" si="3">F14/12/5</f>
        <v>1145.592</v>
      </c>
      <c r="G16" s="20">
        <f t="shared" si="3"/>
        <v>1336.524</v>
      </c>
      <c r="H16" s="20">
        <f t="shared" si="3"/>
        <v>1527.456</v>
      </c>
      <c r="I16" s="20">
        <f t="shared" si="3"/>
        <v>1718.388</v>
      </c>
      <c r="K16" s="20">
        <f t="shared" ref="K16:R16" si="4">K14/12/5</f>
        <v>1348.02</v>
      </c>
      <c r="L16" s="20">
        <f t="shared" si="4"/>
        <v>1572.69</v>
      </c>
      <c r="M16" s="20">
        <f t="shared" si="4"/>
        <v>1797.36</v>
      </c>
      <c r="N16" s="20">
        <f t="shared" si="4"/>
        <v>2022.03</v>
      </c>
      <c r="O16" s="20">
        <f t="shared" si="4"/>
        <v>1471.5</v>
      </c>
      <c r="P16" s="20">
        <f t="shared" si="4"/>
        <v>1716.75</v>
      </c>
      <c r="Q16" s="20">
        <f t="shared" si="4"/>
        <v>1962</v>
      </c>
      <c r="R16" s="20">
        <f t="shared" si="4"/>
        <v>2207.25</v>
      </c>
      <c r="T16" s="17" t="s">
        <v>21</v>
      </c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"/>
      <c r="F17" s="20">
        <f t="shared" ref="F17:I17" si="5">F16*12</f>
        <v>13747.104</v>
      </c>
      <c r="G17" s="20">
        <f t="shared" si="5"/>
        <v>16038.288</v>
      </c>
      <c r="H17" s="20">
        <f t="shared" si="5"/>
        <v>18329.472</v>
      </c>
      <c r="I17" s="20">
        <f t="shared" si="5"/>
        <v>20620.656</v>
      </c>
      <c r="K17" s="20">
        <f t="shared" ref="K17:R17" si="6">K16*12</f>
        <v>16176.24</v>
      </c>
      <c r="L17" s="20">
        <f t="shared" si="6"/>
        <v>18872.28</v>
      </c>
      <c r="M17" s="20">
        <f t="shared" si="6"/>
        <v>21568.32</v>
      </c>
      <c r="N17" s="20">
        <f t="shared" si="6"/>
        <v>24264.36</v>
      </c>
      <c r="O17" s="20">
        <f t="shared" si="6"/>
        <v>17658</v>
      </c>
      <c r="P17" s="20">
        <f t="shared" si="6"/>
        <v>20601</v>
      </c>
      <c r="Q17" s="20">
        <f t="shared" si="6"/>
        <v>23544</v>
      </c>
      <c r="R17" s="20">
        <f t="shared" si="6"/>
        <v>26487</v>
      </c>
      <c r="T17" s="17" t="s">
        <v>22</v>
      </c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4"/>
      <c r="G25" s="5"/>
      <c r="H25" s="32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4"/>
      <c r="G26" s="19"/>
      <c r="I26" s="1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4"/>
      <c r="G27" s="19"/>
      <c r="I27" s="1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19"/>
      <c r="I28" s="1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19"/>
      <c r="I29" s="1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4"/>
      <c r="G30" s="4"/>
      <c r="I30" s="1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"/>
      <c r="H31" s="4"/>
      <c r="I31" s="1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H32" s="4"/>
      <c r="I32" s="1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1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</sheetData>
  <mergeCells count="18">
    <mergeCell ref="A1:A3"/>
    <mergeCell ref="G9:T9"/>
    <mergeCell ref="G10:J10"/>
    <mergeCell ref="L10:N10"/>
    <mergeCell ref="P10:S10"/>
    <mergeCell ref="L11:N11"/>
    <mergeCell ref="P11:S11"/>
    <mergeCell ref="R14:S14"/>
    <mergeCell ref="R16:S16"/>
    <mergeCell ref="R13:S13"/>
    <mergeCell ref="R17:S17"/>
    <mergeCell ref="F11:J11"/>
    <mergeCell ref="I12:J12"/>
    <mergeCell ref="R12:S12"/>
    <mergeCell ref="I13:J13"/>
    <mergeCell ref="I14:J14"/>
    <mergeCell ref="I16:J16"/>
    <mergeCell ref="I17:J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4.5"/>
  </cols>
  <sheetData>
    <row r="1">
      <c r="A1" s="2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0</v>
      </c>
      <c r="B5" s="4"/>
      <c r="C5" s="4"/>
      <c r="D5" s="4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6"/>
      <c r="F6" s="6"/>
      <c r="G6" s="4"/>
      <c r="H6" s="8" t="s">
        <v>2</v>
      </c>
      <c r="I6" s="8" t="s">
        <v>3</v>
      </c>
      <c r="J6" s="8" t="s">
        <v>4</v>
      </c>
      <c r="K6" s="8" t="s">
        <v>5</v>
      </c>
      <c r="L6" s="8" t="s">
        <v>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9">
        <f>D9</f>
        <v>4950</v>
      </c>
      <c r="I7" s="12">
        <f>C9</f>
        <v>4620</v>
      </c>
      <c r="J7" s="12">
        <f>B9</f>
        <v>3951.2</v>
      </c>
      <c r="K7" s="16" t="s">
        <v>8</v>
      </c>
      <c r="L7" s="18">
        <f t="array" ref="L7:L9">SEQUENCE(3,1,1,1)</f>
        <v>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" t="s">
        <v>10</v>
      </c>
      <c r="B8" s="4"/>
      <c r="C8" s="4"/>
      <c r="D8" s="4"/>
      <c r="E8" s="4"/>
      <c r="F8" s="4"/>
      <c r="G8" s="4"/>
      <c r="H8" s="9">
        <f t="shared" ref="H8:H9" si="1">$D$11</f>
        <v>4290</v>
      </c>
      <c r="I8" s="12">
        <f t="shared" ref="I8:I9" si="2">$C$11</f>
        <v>3848.9</v>
      </c>
      <c r="J8" s="12">
        <f t="shared" ref="J8:J9" si="3">$B$11</f>
        <v>3247.2</v>
      </c>
      <c r="K8" s="16" t="s">
        <v>11</v>
      </c>
      <c r="L8" s="21">
        <v>2.0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 t="s">
        <v>13</v>
      </c>
      <c r="B9" s="25">
        <f>3592*1.1</f>
        <v>3951.2</v>
      </c>
      <c r="C9" s="19">
        <f>4200*1.1</f>
        <v>4620</v>
      </c>
      <c r="D9" s="19">
        <f>4500*1.1</f>
        <v>4950</v>
      </c>
      <c r="E9" s="4"/>
      <c r="F9" s="4"/>
      <c r="G9" s="4"/>
      <c r="H9" s="9">
        <f t="shared" si="1"/>
        <v>4290</v>
      </c>
      <c r="I9" s="12">
        <f t="shared" si="2"/>
        <v>3848.9</v>
      </c>
      <c r="J9" s="12">
        <f t="shared" si="3"/>
        <v>3247.2</v>
      </c>
      <c r="K9" s="16" t="s">
        <v>11</v>
      </c>
      <c r="L9" s="21">
        <v>3.0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/>
      <c r="B10" s="19"/>
      <c r="C10" s="19"/>
      <c r="D10" s="19"/>
      <c r="E10" s="4"/>
      <c r="F10" s="4"/>
      <c r="G10" s="4"/>
      <c r="H10" s="26"/>
      <c r="I10" s="26"/>
      <c r="J10" s="26"/>
      <c r="K10" s="27"/>
      <c r="L10" s="2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9" t="s">
        <v>15</v>
      </c>
      <c r="B11" s="25">
        <f>2952*1.1</f>
        <v>3247.2</v>
      </c>
      <c r="C11" s="25">
        <f>3499*1.1</f>
        <v>3848.9</v>
      </c>
      <c r="D11" s="19">
        <f>3900*1.1</f>
        <v>4290</v>
      </c>
      <c r="E11" s="4"/>
      <c r="F11" s="4"/>
      <c r="G11" s="4"/>
      <c r="H11" s="26">
        <f t="shared" ref="H11:J11" si="4">SUM(H$7:H$9)*12</f>
        <v>162360</v>
      </c>
      <c r="I11" s="26">
        <f t="shared" si="4"/>
        <v>147813.6</v>
      </c>
      <c r="J11" s="26">
        <f t="shared" si="4"/>
        <v>125347.2</v>
      </c>
      <c r="K11" s="30" t="s">
        <v>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/>
      <c r="B20" s="29"/>
      <c r="C20" s="29"/>
      <c r="D20" s="2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G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</sheetData>
  <mergeCells count="2">
    <mergeCell ref="A1:Z3"/>
    <mergeCell ref="K11:L11"/>
  </mergeCells>
  <dataValidations>
    <dataValidation type="list" allowBlank="1" showErrorMessage="1" sqref="K7:K9">
      <formula1>"غرفة سكنية وسط,ماستر داخلي,ماستر خارجي"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9" max="19" width="7.75"/>
    <col customWidth="1" min="20" max="20" width="40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6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6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6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/>
      <c r="B9" s="4"/>
      <c r="D9" s="10"/>
      <c r="E9" s="10"/>
      <c r="F9" s="11"/>
      <c r="G9" s="11" t="s">
        <v>7</v>
      </c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4"/>
      <c r="E10" s="4"/>
      <c r="F10" s="13"/>
      <c r="G10" s="13" t="s">
        <v>4</v>
      </c>
      <c r="K10" s="14"/>
      <c r="L10" s="14" t="s">
        <v>3</v>
      </c>
      <c r="O10" s="15"/>
      <c r="P10" s="15" t="s">
        <v>2</v>
      </c>
      <c r="T10" s="17" t="s">
        <v>9</v>
      </c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4"/>
      <c r="E11" s="4"/>
      <c r="F11" s="20">
        <f>'Option 2 LTR Financial Study'!J11</f>
        <v>125347.2</v>
      </c>
      <c r="K11" s="20"/>
      <c r="L11" s="20">
        <f>'Option 2 LTR Financial Study'!I11</f>
        <v>147813.6</v>
      </c>
      <c r="O11" s="20"/>
      <c r="P11" s="20">
        <f>'Option 2 LTR Financial Study'!H11</f>
        <v>162360</v>
      </c>
      <c r="T11" s="17" t="s">
        <v>12</v>
      </c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22"/>
      <c r="D12" s="22"/>
      <c r="E12" s="22"/>
      <c r="F12" s="23">
        <v>0.6</v>
      </c>
      <c r="G12" s="23">
        <v>0.7</v>
      </c>
      <c r="H12" s="23">
        <v>0.8</v>
      </c>
      <c r="I12" s="24">
        <v>0.9</v>
      </c>
      <c r="K12" s="24">
        <v>0.6</v>
      </c>
      <c r="L12" s="24">
        <v>0.7</v>
      </c>
      <c r="M12" s="24">
        <v>0.8</v>
      </c>
      <c r="N12" s="24">
        <v>0.9</v>
      </c>
      <c r="O12" s="24">
        <v>0.6</v>
      </c>
      <c r="P12" s="24">
        <v>0.7</v>
      </c>
      <c r="Q12" s="24">
        <v>0.8</v>
      </c>
      <c r="R12" s="24">
        <v>0.9</v>
      </c>
      <c r="T12" s="17" t="s">
        <v>14</v>
      </c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4"/>
      <c r="E13" s="4"/>
      <c r="F13" s="20">
        <f>F12*F11</f>
        <v>75208.32</v>
      </c>
      <c r="G13" s="20">
        <f>F11*G12</f>
        <v>87743.04</v>
      </c>
      <c r="H13" s="20">
        <f>F11*H12</f>
        <v>100277.76</v>
      </c>
      <c r="I13" s="20">
        <f>F11*I12</f>
        <v>112812.48</v>
      </c>
      <c r="K13" s="20">
        <f>L11*K12</f>
        <v>88688.16</v>
      </c>
      <c r="L13" s="20">
        <f>L11*L12</f>
        <v>103469.52</v>
      </c>
      <c r="M13" s="20">
        <f>L11*M12</f>
        <v>118250.88</v>
      </c>
      <c r="N13" s="20">
        <f>L11*N12</f>
        <v>133032.24</v>
      </c>
      <c r="O13" s="20">
        <f>P11*O12</f>
        <v>97416</v>
      </c>
      <c r="P13" s="20">
        <f>P11*P12</f>
        <v>113652</v>
      </c>
      <c r="Q13" s="20">
        <f>P11*Q12</f>
        <v>129888</v>
      </c>
      <c r="R13" s="20">
        <f>P11*R12</f>
        <v>146124</v>
      </c>
      <c r="T13" s="17" t="s">
        <v>19</v>
      </c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4"/>
      <c r="E14" s="4"/>
      <c r="F14" s="20">
        <f t="shared" ref="F14:I14" si="1">F13*(1-$T$15)</f>
        <v>56406.24</v>
      </c>
      <c r="G14" s="20">
        <f t="shared" si="1"/>
        <v>65807.28</v>
      </c>
      <c r="H14" s="20">
        <f t="shared" si="1"/>
        <v>75208.32</v>
      </c>
      <c r="I14" s="20">
        <f t="shared" si="1"/>
        <v>84609.36</v>
      </c>
      <c r="K14" s="20">
        <f t="shared" ref="K14:R14" si="2">K13*(1-$T$15)</f>
        <v>66516.12</v>
      </c>
      <c r="L14" s="20">
        <f t="shared" si="2"/>
        <v>77602.14</v>
      </c>
      <c r="M14" s="20">
        <f t="shared" si="2"/>
        <v>88688.16</v>
      </c>
      <c r="N14" s="20">
        <f t="shared" si="2"/>
        <v>99774.18</v>
      </c>
      <c r="O14" s="20">
        <f t="shared" si="2"/>
        <v>73062</v>
      </c>
      <c r="P14" s="20">
        <f t="shared" si="2"/>
        <v>85239</v>
      </c>
      <c r="Q14" s="20">
        <f t="shared" si="2"/>
        <v>97416</v>
      </c>
      <c r="R14" s="20">
        <f t="shared" si="2"/>
        <v>109593</v>
      </c>
      <c r="T14" s="17" t="s">
        <v>20</v>
      </c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4"/>
      <c r="E15" s="4"/>
      <c r="T15" s="31">
        <v>0.25</v>
      </c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4"/>
      <c r="E16" s="4"/>
      <c r="F16" s="20">
        <f t="shared" ref="F16:I16" si="3">F14/12</f>
        <v>4700.52</v>
      </c>
      <c r="G16" s="20">
        <f t="shared" si="3"/>
        <v>5483.94</v>
      </c>
      <c r="H16" s="20">
        <f t="shared" si="3"/>
        <v>6267.36</v>
      </c>
      <c r="I16" s="20">
        <f t="shared" si="3"/>
        <v>7050.78</v>
      </c>
      <c r="K16" s="20">
        <f t="shared" ref="K16:R16" si="4">K14/12</f>
        <v>5543.01</v>
      </c>
      <c r="L16" s="20">
        <f t="shared" si="4"/>
        <v>6466.845</v>
      </c>
      <c r="M16" s="20">
        <f t="shared" si="4"/>
        <v>7390.68</v>
      </c>
      <c r="N16" s="20">
        <f t="shared" si="4"/>
        <v>8314.515</v>
      </c>
      <c r="O16" s="20">
        <f t="shared" si="4"/>
        <v>6088.5</v>
      </c>
      <c r="P16" s="20">
        <f t="shared" si="4"/>
        <v>7103.25</v>
      </c>
      <c r="Q16" s="20">
        <f t="shared" si="4"/>
        <v>8118</v>
      </c>
      <c r="R16" s="20">
        <f t="shared" si="4"/>
        <v>9132.75</v>
      </c>
      <c r="T16" s="17" t="s">
        <v>21</v>
      </c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4"/>
      <c r="G24" s="5"/>
      <c r="H24" s="32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4"/>
      <c r="G25" s="19"/>
      <c r="I25" s="1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4"/>
      <c r="G26" s="19"/>
      <c r="I26" s="1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4"/>
      <c r="G27" s="19"/>
      <c r="I27" s="1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19"/>
      <c r="I28" s="1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4"/>
      <c r="I29" s="1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4"/>
      <c r="G30" s="4"/>
      <c r="H30" s="4"/>
      <c r="I30" s="1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"/>
      <c r="H31" s="4"/>
      <c r="I31" s="1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H32" s="4"/>
      <c r="I32" s="1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</sheetData>
  <mergeCells count="16">
    <mergeCell ref="A1:A3"/>
    <mergeCell ref="G9:T9"/>
    <mergeCell ref="G10:J10"/>
    <mergeCell ref="L10:N10"/>
    <mergeCell ref="P10:S10"/>
    <mergeCell ref="L11:N11"/>
    <mergeCell ref="P11:S11"/>
    <mergeCell ref="R14:S14"/>
    <mergeCell ref="R16:S16"/>
    <mergeCell ref="F11:J11"/>
    <mergeCell ref="I12:J12"/>
    <mergeCell ref="R12:S12"/>
    <mergeCell ref="I13:J13"/>
    <mergeCell ref="R13:S13"/>
    <mergeCell ref="I14:J14"/>
    <mergeCell ref="I16:J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1"/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B2" s="1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B3" s="1"/>
      <c r="C3" s="1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2.5" customHeight="1">
      <c r="A5" s="4"/>
      <c r="B5" s="4"/>
      <c r="C5" s="4"/>
      <c r="D5" s="4"/>
      <c r="E5" s="4"/>
      <c r="F5" s="33"/>
      <c r="G5" s="33"/>
      <c r="H5" s="33"/>
      <c r="I5" s="33"/>
      <c r="J5" s="33"/>
      <c r="K5" s="33"/>
      <c r="L5" s="33"/>
      <c r="M5" s="33"/>
      <c r="N5" s="33"/>
      <c r="O5" s="34" t="s">
        <v>23</v>
      </c>
      <c r="P5" s="34" t="s">
        <v>5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4"/>
      <c r="C6" s="4"/>
      <c r="D6" s="4"/>
      <c r="E6" s="4"/>
      <c r="F6" s="35"/>
      <c r="G6" s="35"/>
      <c r="H6" s="35"/>
      <c r="I6" s="35"/>
      <c r="J6" s="35"/>
      <c r="K6" s="35"/>
      <c r="L6" s="35"/>
      <c r="M6" s="35"/>
      <c r="N6" s="35"/>
      <c r="O6" s="36">
        <v>4.0</v>
      </c>
      <c r="P6" s="37" t="s">
        <v>24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4"/>
      <c r="B7" s="4"/>
      <c r="C7" s="4"/>
      <c r="D7" s="4"/>
      <c r="E7" s="4"/>
      <c r="F7" s="35"/>
      <c r="G7" s="35"/>
      <c r="H7" s="35"/>
      <c r="I7" s="35"/>
      <c r="J7" s="35"/>
      <c r="K7" s="35"/>
      <c r="L7" s="35"/>
      <c r="M7" s="35"/>
      <c r="N7" s="35"/>
      <c r="O7" s="38">
        <v>2.0</v>
      </c>
      <c r="P7" s="39" t="s">
        <v>25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4"/>
      <c r="C8" s="4"/>
      <c r="D8" s="4"/>
      <c r="E8" s="4"/>
      <c r="F8" s="35"/>
      <c r="G8" s="35"/>
      <c r="H8" s="35"/>
      <c r="I8" s="35"/>
      <c r="J8" s="35"/>
      <c r="K8" s="35"/>
      <c r="L8" s="35"/>
      <c r="M8" s="35"/>
      <c r="N8" s="35"/>
      <c r="O8" s="40">
        <v>3.0</v>
      </c>
      <c r="P8" s="41" t="s">
        <v>26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4"/>
      <c r="C10" s="4"/>
      <c r="D10" s="4"/>
      <c r="E10" s="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4"/>
      <c r="C11" s="4"/>
      <c r="D11" s="4"/>
      <c r="E11" s="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4"/>
      <c r="D12" s="10"/>
      <c r="E12" s="10"/>
      <c r="F12" s="42"/>
      <c r="G12" s="42"/>
      <c r="H12" s="42"/>
      <c r="I12" s="42"/>
      <c r="J12" s="42"/>
      <c r="K12" s="42"/>
      <c r="L12" s="43" t="s">
        <v>27</v>
      </c>
      <c r="Y12" s="4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4"/>
      <c r="C13" s="4"/>
      <c r="D13" s="4"/>
      <c r="E13" s="4"/>
      <c r="F13" s="13" t="s">
        <v>4</v>
      </c>
      <c r="L13" s="14" t="s">
        <v>3</v>
      </c>
      <c r="R13" s="15" t="s">
        <v>2</v>
      </c>
      <c r="X13" s="17" t="s">
        <v>9</v>
      </c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4"/>
      <c r="C14" s="4"/>
      <c r="D14" s="4"/>
      <c r="E14" s="4"/>
      <c r="F14" s="45" t="str">
        <f>'STR Financial Study'!J60</f>
        <v>#REF!</v>
      </c>
      <c r="L14" s="45" t="str">
        <f>'STR Financial Study'!I60</f>
        <v>#REF!</v>
      </c>
      <c r="R14" s="45" t="str">
        <f>'STR Financial Study'!H60</f>
        <v>#REF!</v>
      </c>
      <c r="X14" s="17" t="s">
        <v>12</v>
      </c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4"/>
      <c r="C15" s="22"/>
      <c r="D15" s="22"/>
      <c r="E15" s="22"/>
      <c r="F15" s="24">
        <v>0.4</v>
      </c>
      <c r="G15" s="24">
        <v>0.5</v>
      </c>
      <c r="H15" s="24">
        <v>0.6</v>
      </c>
      <c r="I15" s="24">
        <v>0.7</v>
      </c>
      <c r="J15" s="24">
        <v>0.8</v>
      </c>
      <c r="K15" s="24">
        <v>0.9</v>
      </c>
      <c r="L15" s="24">
        <v>0.4</v>
      </c>
      <c r="M15" s="24">
        <v>0.5</v>
      </c>
      <c r="N15" s="24">
        <v>0.6</v>
      </c>
      <c r="O15" s="24">
        <v>0.7</v>
      </c>
      <c r="P15" s="24">
        <v>0.8</v>
      </c>
      <c r="Q15" s="24">
        <v>0.9</v>
      </c>
      <c r="R15" s="46">
        <v>0.4</v>
      </c>
      <c r="S15" s="46">
        <v>0.5</v>
      </c>
      <c r="T15" s="46">
        <v>0.6</v>
      </c>
      <c r="U15" s="46">
        <v>0.7</v>
      </c>
      <c r="V15" s="46">
        <v>0.8</v>
      </c>
      <c r="W15" s="46">
        <v>0.9</v>
      </c>
      <c r="X15" s="17" t="s">
        <v>14</v>
      </c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4"/>
      <c r="C16" s="4"/>
      <c r="D16" s="4"/>
      <c r="E16" s="4"/>
      <c r="F16" s="45" t="str">
        <f>F14*F15</f>
        <v>#REF!</v>
      </c>
      <c r="G16" s="45" t="str">
        <f>F14*G15</f>
        <v>#REF!</v>
      </c>
      <c r="H16" s="45" t="str">
        <f>F14*H15</f>
        <v>#REF!</v>
      </c>
      <c r="I16" s="45" t="str">
        <f>F14*I15</f>
        <v>#REF!</v>
      </c>
      <c r="J16" s="45" t="str">
        <f>F14*J15</f>
        <v>#REF!</v>
      </c>
      <c r="K16" s="45" t="str">
        <f>F14*K15</f>
        <v>#REF!</v>
      </c>
      <c r="L16" s="45" t="str">
        <f>L14*L15</f>
        <v>#REF!</v>
      </c>
      <c r="M16" s="45" t="str">
        <f>L14*M15</f>
        <v>#REF!</v>
      </c>
      <c r="N16" s="45" t="str">
        <f>L14*N15</f>
        <v>#REF!</v>
      </c>
      <c r="O16" s="45" t="str">
        <f>L14*O15</f>
        <v>#REF!</v>
      </c>
      <c r="P16" s="45" t="str">
        <f>L14*P15</f>
        <v>#REF!</v>
      </c>
      <c r="Q16" s="45" t="str">
        <f>L14*Q15</f>
        <v>#REF!</v>
      </c>
      <c r="R16" s="45" t="str">
        <f>R14*R15</f>
        <v>#REF!</v>
      </c>
      <c r="S16" s="45" t="str">
        <f>R14*S15</f>
        <v>#REF!</v>
      </c>
      <c r="T16" s="45" t="str">
        <f>R14*T15</f>
        <v>#REF!</v>
      </c>
      <c r="U16" s="45" t="str">
        <f>R14*U15</f>
        <v>#REF!</v>
      </c>
      <c r="V16" s="45" t="str">
        <f>R14*V15</f>
        <v>#REF!</v>
      </c>
      <c r="W16" s="45" t="str">
        <f>R14*W15</f>
        <v>#REF!</v>
      </c>
      <c r="X16" s="17" t="s">
        <v>28</v>
      </c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4"/>
      <c r="C17" s="4"/>
      <c r="D17" s="4"/>
      <c r="E17" s="4"/>
      <c r="F17" s="47" t="s">
        <v>29</v>
      </c>
      <c r="G17" s="47" t="s">
        <v>29</v>
      </c>
      <c r="H17" s="47" t="s">
        <v>29</v>
      </c>
      <c r="I17" s="47" t="s">
        <v>29</v>
      </c>
      <c r="J17" s="47" t="s">
        <v>29</v>
      </c>
      <c r="K17" s="47" t="s">
        <v>29</v>
      </c>
      <c r="L17" s="47" t="s">
        <v>29</v>
      </c>
      <c r="M17" s="47" t="s">
        <v>29</v>
      </c>
      <c r="N17" s="47" t="s">
        <v>29</v>
      </c>
      <c r="O17" s="47" t="s">
        <v>29</v>
      </c>
      <c r="P17" s="47" t="s">
        <v>29</v>
      </c>
      <c r="Q17" s="47" t="s">
        <v>29</v>
      </c>
      <c r="R17" s="47" t="s">
        <v>29</v>
      </c>
      <c r="S17" s="47" t="s">
        <v>29</v>
      </c>
      <c r="T17" s="47" t="s">
        <v>29</v>
      </c>
      <c r="U17" s="47" t="s">
        <v>29</v>
      </c>
      <c r="V17" s="47" t="s">
        <v>29</v>
      </c>
      <c r="W17" s="47" t="s">
        <v>29</v>
      </c>
      <c r="X17" s="17" t="s">
        <v>30</v>
      </c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4"/>
      <c r="C18" s="4"/>
      <c r="D18" s="4"/>
      <c r="E18" s="4"/>
      <c r="F18" s="47">
        <v>265732.0</v>
      </c>
      <c r="G18" s="47">
        <v>332164.0</v>
      </c>
      <c r="H18" s="47">
        <v>398598.0</v>
      </c>
      <c r="I18" s="47">
        <v>465030.0</v>
      </c>
      <c r="J18" s="47">
        <v>531464.0</v>
      </c>
      <c r="K18" s="47">
        <v>597897.0</v>
      </c>
      <c r="L18" s="47">
        <v>323052.0</v>
      </c>
      <c r="M18" s="47">
        <v>403815.0</v>
      </c>
      <c r="N18" s="47">
        <v>484578.0</v>
      </c>
      <c r="O18" s="47">
        <v>565340.0</v>
      </c>
      <c r="P18" s="47">
        <v>646103.0</v>
      </c>
      <c r="Q18" s="47">
        <v>726866.0</v>
      </c>
      <c r="R18" s="47">
        <v>379906.0</v>
      </c>
      <c r="S18" s="47">
        <v>474883.0</v>
      </c>
      <c r="T18" s="47">
        <v>569860.0</v>
      </c>
      <c r="U18" s="47">
        <v>664836.0</v>
      </c>
      <c r="V18" s="47">
        <v>759813.0</v>
      </c>
      <c r="W18" s="47">
        <v>854790.0</v>
      </c>
      <c r="X18" s="17" t="s">
        <v>31</v>
      </c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4"/>
      <c r="C19" s="4"/>
      <c r="D19" s="4"/>
      <c r="E19" s="4"/>
      <c r="F19" s="47" t="s">
        <v>29</v>
      </c>
      <c r="G19" s="47" t="s">
        <v>29</v>
      </c>
      <c r="H19" s="47" t="s">
        <v>29</v>
      </c>
      <c r="I19" s="47" t="s">
        <v>29</v>
      </c>
      <c r="J19" s="47" t="s">
        <v>29</v>
      </c>
      <c r="K19" s="47" t="s">
        <v>29</v>
      </c>
      <c r="L19" s="47" t="s">
        <v>29</v>
      </c>
      <c r="M19" s="47" t="s">
        <v>29</v>
      </c>
      <c r="N19" s="47" t="s">
        <v>29</v>
      </c>
      <c r="O19" s="47" t="s">
        <v>29</v>
      </c>
      <c r="P19" s="47" t="s">
        <v>29</v>
      </c>
      <c r="Q19" s="47" t="s">
        <v>29</v>
      </c>
      <c r="R19" s="47" t="s">
        <v>29</v>
      </c>
      <c r="S19" s="47" t="s">
        <v>29</v>
      </c>
      <c r="T19" s="47" t="s">
        <v>29</v>
      </c>
      <c r="U19" s="47" t="s">
        <v>29</v>
      </c>
      <c r="V19" s="47" t="s">
        <v>29</v>
      </c>
      <c r="W19" s="47" t="s">
        <v>29</v>
      </c>
      <c r="X19" s="17" t="s">
        <v>30</v>
      </c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4"/>
      <c r="C20" s="4"/>
      <c r="D20" s="4"/>
      <c r="E20" s="4"/>
      <c r="F20" s="47">
        <v>232515.0</v>
      </c>
      <c r="G20" s="47">
        <v>290644.0</v>
      </c>
      <c r="H20" s="47">
        <v>348773.0</v>
      </c>
      <c r="I20" s="47">
        <v>406901.0</v>
      </c>
      <c r="J20" s="47">
        <v>465031.0</v>
      </c>
      <c r="K20" s="47">
        <v>523159.0</v>
      </c>
      <c r="L20" s="47">
        <v>282679.0</v>
      </c>
      <c r="M20" s="47">
        <v>353338.0</v>
      </c>
      <c r="N20" s="47">
        <v>424005.0</v>
      </c>
      <c r="O20" s="47">
        <v>494673.0</v>
      </c>
      <c r="P20" s="47">
        <v>565341.0</v>
      </c>
      <c r="Q20" s="47">
        <v>636008.0</v>
      </c>
      <c r="R20" s="47">
        <v>332418.0</v>
      </c>
      <c r="S20" s="47">
        <v>415523.0</v>
      </c>
      <c r="T20" s="47">
        <v>498627.0</v>
      </c>
      <c r="U20" s="47">
        <v>581732.0</v>
      </c>
      <c r="V20" s="47">
        <v>664836.0</v>
      </c>
      <c r="W20" s="47">
        <v>747941.0</v>
      </c>
      <c r="X20" s="17" t="s">
        <v>32</v>
      </c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4"/>
      <c r="B21" s="4"/>
      <c r="C21" s="4"/>
      <c r="D21" s="4"/>
      <c r="E21" s="4"/>
      <c r="F21" s="47" t="s">
        <v>29</v>
      </c>
      <c r="G21" s="47" t="s">
        <v>29</v>
      </c>
      <c r="H21" s="47" t="s">
        <v>29</v>
      </c>
      <c r="I21" s="47" t="s">
        <v>29</v>
      </c>
      <c r="J21" s="47" t="s">
        <v>29</v>
      </c>
      <c r="K21" s="47" t="s">
        <v>29</v>
      </c>
      <c r="L21" s="47" t="s">
        <v>29</v>
      </c>
      <c r="M21" s="47" t="s">
        <v>29</v>
      </c>
      <c r="N21" s="47" t="s">
        <v>29</v>
      </c>
      <c r="O21" s="47" t="s">
        <v>29</v>
      </c>
      <c r="P21" s="47" t="s">
        <v>29</v>
      </c>
      <c r="Q21" s="47" t="s">
        <v>29</v>
      </c>
      <c r="R21" s="47" t="s">
        <v>29</v>
      </c>
      <c r="S21" s="47" t="s">
        <v>29</v>
      </c>
      <c r="T21" s="47" t="s">
        <v>29</v>
      </c>
      <c r="U21" s="47" t="s">
        <v>29</v>
      </c>
      <c r="V21" s="47" t="s">
        <v>29</v>
      </c>
      <c r="W21" s="47" t="s">
        <v>29</v>
      </c>
      <c r="X21" s="17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8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4"/>
      <c r="B23" s="4"/>
      <c r="C23" s="4"/>
      <c r="D23" s="4"/>
      <c r="E23" s="4"/>
      <c r="F23" s="4"/>
      <c r="G23" s="4"/>
      <c r="H23" s="1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</sheetData>
  <mergeCells count="8">
    <mergeCell ref="A1:A3"/>
    <mergeCell ref="L12:X12"/>
    <mergeCell ref="F13:K13"/>
    <mergeCell ref="L13:Q13"/>
    <mergeCell ref="R13:W13"/>
    <mergeCell ref="F14:K14"/>
    <mergeCell ref="L14:Q14"/>
    <mergeCell ref="R14:W14"/>
  </mergeCells>
  <dataValidations>
    <dataValidation type="list" allowBlank="1" showErrorMessage="1" sqref="P7">
      <formula1>"Studio,1Bd,2Bd"</formula1>
    </dataValidation>
    <dataValidation type="list" allowBlank="1" showErrorMessage="1" sqref="P6 P8">
      <formula1>"1Bd,2Bd"</formula1>
    </dataValidation>
  </dataValidations>
  <drawing r:id="rId1"/>
  <tableParts count="1">
    <tablePart r:id="rId3"/>
  </tableParts>
</worksheet>
</file>